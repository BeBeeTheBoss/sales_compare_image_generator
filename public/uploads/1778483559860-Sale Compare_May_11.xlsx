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PRO1\Desktop\Sale Compare\"/>
    </mc:Choice>
  </mc:AlternateContent>
  <xr:revisionPtr revIDLastSave="0" documentId="13_ncr:1_{92000716-CA9E-4534-83BC-6C29203C5B33}" xr6:coauthVersionLast="47" xr6:coauthVersionMax="47" xr10:uidLastSave="{00000000-0000-0000-0000-000000000000}"/>
  <bookViews>
    <workbookView xWindow="-28920" yWindow="-870" windowWidth="29040" windowHeight="15720" xr2:uid="{94CF6E87-DE86-4E71-A647-46D8EDAEC92B}"/>
  </bookViews>
  <sheets>
    <sheet name="Sale Compare" sheetId="1" r:id="rId1"/>
    <sheet name="Sheet2" sheetId="4" r:id="rId2"/>
    <sheet name="Sheet1" sheetId="2" r:id="rId3"/>
    <sheet name="Sheet4" sheetId="7" r:id="rId4"/>
    <sheet name="to" sheetId="6" r:id="rId5"/>
    <sheet name="Sheet3" sheetId="5" r:id="rId6"/>
  </sheets>
  <definedNames>
    <definedName name="ExternalData_1" localSheetId="4" hidden="1">to!$A$1:$C$212</definedName>
  </definedNames>
  <calcPr calcId="181029"/>
  <pivotCaches>
    <pivotCache cacheId="0" r:id="rId7"/>
    <pivotCache cacheId="1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S10" i="1"/>
  <c r="S8" i="1"/>
  <c r="S7" i="1"/>
  <c r="S6" i="1"/>
  <c r="S5" i="1"/>
  <c r="D20" i="1"/>
  <c r="G20" i="1"/>
  <c r="P20" i="1"/>
  <c r="S20" i="1"/>
  <c r="AB20" i="1"/>
  <c r="AH20" i="1"/>
  <c r="AK20" i="1"/>
  <c r="AN20" i="1"/>
  <c r="AT20" i="1"/>
  <c r="AW20" i="1"/>
  <c r="AQ20" i="1"/>
  <c r="AE20" i="1"/>
  <c r="Y20" i="1"/>
  <c r="V20" i="1"/>
  <c r="M20" i="1"/>
  <c r="AW19" i="1"/>
  <c r="AT19" i="1"/>
  <c r="AQ19" i="1"/>
  <c r="AN19" i="1"/>
  <c r="AK19" i="1"/>
  <c r="AH19" i="1"/>
  <c r="AE19" i="1"/>
  <c r="AB19" i="1"/>
  <c r="Y19" i="1"/>
  <c r="V19" i="1"/>
  <c r="S19" i="1"/>
  <c r="P19" i="1"/>
  <c r="M19" i="1"/>
  <c r="AW18" i="1"/>
  <c r="AT18" i="1"/>
  <c r="AQ18" i="1"/>
  <c r="AN18" i="1"/>
  <c r="AK18" i="1"/>
  <c r="AH18" i="1"/>
  <c r="AE18" i="1"/>
  <c r="AB18" i="1"/>
  <c r="Y18" i="1"/>
  <c r="V18" i="1"/>
  <c r="S18" i="1"/>
  <c r="P18" i="1"/>
  <c r="M18" i="1"/>
  <c r="G18" i="1"/>
  <c r="D18" i="1"/>
  <c r="AW17" i="1"/>
  <c r="AT17" i="1"/>
  <c r="AQ17" i="1"/>
  <c r="AN17" i="1"/>
  <c r="AK17" i="1"/>
  <c r="AH17" i="1"/>
  <c r="AE17" i="1"/>
  <c r="AB17" i="1"/>
  <c r="Y17" i="1"/>
  <c r="V17" i="1"/>
  <c r="S17" i="1"/>
  <c r="P17" i="1"/>
  <c r="M17" i="1"/>
  <c r="G17" i="1"/>
  <c r="D17" i="1"/>
  <c r="AW16" i="1"/>
  <c r="AT16" i="1"/>
  <c r="AQ16" i="1"/>
  <c r="AN16" i="1"/>
  <c r="AK16" i="1"/>
  <c r="AH16" i="1"/>
  <c r="AE16" i="1"/>
  <c r="AB16" i="1"/>
  <c r="Y16" i="1"/>
  <c r="V16" i="1"/>
  <c r="S16" i="1"/>
  <c r="P16" i="1"/>
  <c r="M16" i="1"/>
  <c r="G16" i="1"/>
  <c r="D16" i="1"/>
  <c r="AW15" i="1"/>
  <c r="AT15" i="1"/>
  <c r="AQ15" i="1"/>
  <c r="AN15" i="1"/>
  <c r="AK15" i="1"/>
  <c r="AH15" i="1"/>
  <c r="AE15" i="1"/>
  <c r="AB15" i="1"/>
  <c r="Y15" i="1"/>
  <c r="V15" i="1"/>
  <c r="S15" i="1"/>
  <c r="P15" i="1"/>
  <c r="M15" i="1"/>
  <c r="G15" i="1"/>
  <c r="D15" i="1"/>
  <c r="AW14" i="1"/>
  <c r="AT14" i="1"/>
  <c r="AQ14" i="1"/>
  <c r="AN14" i="1"/>
  <c r="AK14" i="1"/>
  <c r="AH14" i="1"/>
  <c r="AE14" i="1"/>
  <c r="AB14" i="1"/>
  <c r="Y14" i="1"/>
  <c r="V14" i="1"/>
  <c r="S14" i="1"/>
  <c r="P14" i="1"/>
  <c r="M14" i="1"/>
  <c r="G14" i="1"/>
  <c r="D14" i="1"/>
  <c r="AW13" i="1"/>
  <c r="AT13" i="1"/>
  <c r="AQ13" i="1"/>
  <c r="AN13" i="1"/>
  <c r="AK13" i="1"/>
  <c r="AH13" i="1"/>
  <c r="AE13" i="1"/>
  <c r="AB13" i="1"/>
  <c r="Y13" i="1"/>
  <c r="V13" i="1"/>
  <c r="S13" i="1"/>
  <c r="P13" i="1"/>
  <c r="M13" i="1"/>
  <c r="G13" i="1"/>
  <c r="D13" i="1"/>
  <c r="AW12" i="1"/>
  <c r="AT12" i="1"/>
  <c r="AQ12" i="1"/>
  <c r="AN12" i="1"/>
  <c r="AK12" i="1"/>
  <c r="AH12" i="1"/>
  <c r="AE12" i="1"/>
  <c r="AB12" i="1"/>
  <c r="Y12" i="1"/>
  <c r="V12" i="1"/>
  <c r="S12" i="1"/>
  <c r="P12" i="1"/>
  <c r="M12" i="1"/>
  <c r="G12" i="1"/>
  <c r="D12" i="1"/>
  <c r="AW11" i="1"/>
  <c r="AT11" i="1"/>
  <c r="AQ11" i="1"/>
  <c r="AN11" i="1"/>
  <c r="AK11" i="1"/>
  <c r="AH11" i="1"/>
  <c r="AE11" i="1"/>
  <c r="AB11" i="1"/>
  <c r="Y11" i="1"/>
  <c r="V11" i="1"/>
  <c r="S11" i="1"/>
  <c r="P11" i="1"/>
  <c r="M11" i="1"/>
  <c r="G11" i="1"/>
  <c r="D11" i="1"/>
  <c r="AW10" i="1"/>
  <c r="AT10" i="1"/>
  <c r="AQ10" i="1"/>
  <c r="AN10" i="1"/>
  <c r="AK10" i="1"/>
  <c r="AH10" i="1"/>
  <c r="AE10" i="1"/>
  <c r="AB10" i="1"/>
  <c r="Y10" i="1"/>
  <c r="V10" i="1"/>
  <c r="P10" i="1"/>
  <c r="M10" i="1"/>
  <c r="G10" i="1"/>
  <c r="D10" i="1"/>
  <c r="AW9" i="1"/>
  <c r="AT9" i="1"/>
  <c r="AQ9" i="1"/>
  <c r="AN9" i="1"/>
  <c r="AK9" i="1"/>
  <c r="AH9" i="1"/>
  <c r="AE9" i="1"/>
  <c r="AB9" i="1"/>
  <c r="Y9" i="1"/>
  <c r="V9" i="1"/>
  <c r="S9" i="1"/>
  <c r="P9" i="1"/>
  <c r="M9" i="1"/>
  <c r="G9" i="1"/>
  <c r="D9" i="1"/>
  <c r="AW8" i="1"/>
  <c r="AT8" i="1"/>
  <c r="AQ8" i="1"/>
  <c r="AN8" i="1"/>
  <c r="AK8" i="1"/>
  <c r="AH8" i="1"/>
  <c r="AE8" i="1"/>
  <c r="AB8" i="1"/>
  <c r="Y8" i="1"/>
  <c r="V8" i="1"/>
  <c r="P8" i="1"/>
  <c r="M8" i="1"/>
  <c r="G8" i="1"/>
  <c r="D8" i="1"/>
  <c r="AW7" i="1"/>
  <c r="AT7" i="1"/>
  <c r="AQ7" i="1"/>
  <c r="AN7" i="1"/>
  <c r="AK7" i="1"/>
  <c r="AH7" i="1"/>
  <c r="AE7" i="1"/>
  <c r="AB7" i="1"/>
  <c r="Y7" i="1"/>
  <c r="V7" i="1"/>
  <c r="P7" i="1"/>
  <c r="M7" i="1"/>
  <c r="G7" i="1"/>
  <c r="D7" i="1"/>
  <c r="AW6" i="1"/>
  <c r="AT6" i="1"/>
  <c r="AQ6" i="1"/>
  <c r="AN6" i="1"/>
  <c r="AK6" i="1"/>
  <c r="AH6" i="1"/>
  <c r="AE6" i="1"/>
  <c r="AB6" i="1"/>
  <c r="Y6" i="1"/>
  <c r="V6" i="1"/>
  <c r="P6" i="1"/>
  <c r="M6" i="1"/>
  <c r="G6" i="1"/>
  <c r="D6" i="1"/>
  <c r="AW5" i="1"/>
  <c r="AT5" i="1"/>
  <c r="AQ5" i="1"/>
  <c r="AN5" i="1"/>
  <c r="AK5" i="1"/>
  <c r="AH5" i="1"/>
  <c r="AE5" i="1"/>
  <c r="AB5" i="1"/>
  <c r="Y5" i="1"/>
  <c r="V5" i="1"/>
  <c r="P5" i="1"/>
  <c r="M5" i="1"/>
  <c r="G5" i="1"/>
  <c r="D5" i="1"/>
  <c r="AW4" i="1"/>
  <c r="AT4" i="1"/>
  <c r="AQ4" i="1"/>
  <c r="AN4" i="1"/>
  <c r="AK4" i="1"/>
  <c r="AH4" i="1"/>
  <c r="AE4" i="1"/>
  <c r="AB4" i="1"/>
  <c r="Y4" i="1"/>
  <c r="V4" i="1"/>
  <c r="S4" i="1"/>
  <c r="P4" i="1"/>
  <c r="M4" i="1"/>
  <c r="G4" i="1"/>
  <c r="D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324599-3DFB-4FF1-9FE8-64814AD6962E}" keepAlive="1" name="Query - to" description="Connection to the 'to' query in the workbook." type="5" refreshedVersion="8" background="1" saveData="1">
    <dbPr connection="Provider=Microsoft.Mashup.OleDb.1;Data Source=$Workbook$;Location=to;Extended Properties=&quot;&quot;" command="SELECT * FROM [to]"/>
  </connection>
  <connection id="2" xr16:uid="{EFE020C5-37BA-4E2A-B178-3A306ADB2691}" keepAlive="1" name="Query - yes" description="Connection to the 'yes' query in the workbook." type="5" refreshedVersion="0" background="1">
    <dbPr connection="Provider=Microsoft.Mashup.OleDb.1;Data Source=$Workbook$;Location=yes;Extended Properties=&quot;&quot;" command="SELECT * FROM [yes]"/>
  </connection>
</connections>
</file>

<file path=xl/sharedStrings.xml><?xml version="1.0" encoding="utf-8"?>
<sst xmlns="http://schemas.openxmlformats.org/spreadsheetml/2006/main" count="997" uniqueCount="58">
  <si>
    <t>Main Category</t>
  </si>
  <si>
    <t>Lanthit</t>
  </si>
  <si>
    <t>Theikpan</t>
  </si>
  <si>
    <t>Satsan</t>
  </si>
  <si>
    <t>East Dagon</t>
  </si>
  <si>
    <t>Mawlamyine</t>
  </si>
  <si>
    <t>Tampawady</t>
  </si>
  <si>
    <t>Hlaing Tharyar</t>
  </si>
  <si>
    <t>Aye Tharyar</t>
  </si>
  <si>
    <t>Mingalardon</t>
  </si>
  <si>
    <t>Bago</t>
  </si>
  <si>
    <t>PRO 1 PLUS (Terminal M)</t>
  </si>
  <si>
    <t>South Dagon</t>
  </si>
  <si>
    <t>Da Nyin Gone</t>
  </si>
  <si>
    <t>Nay Pyi Taw</t>
  </si>
  <si>
    <t>Clearance Sale</t>
  </si>
  <si>
    <t>Grand Total</t>
  </si>
  <si>
    <t>Today Sale</t>
  </si>
  <si>
    <t>%</t>
  </si>
  <si>
    <t>01-Cement and Block</t>
  </si>
  <si>
    <t>02-Steel</t>
  </si>
  <si>
    <t>03-Roofing/Ceiling/Wall</t>
  </si>
  <si>
    <t>04-Sanitary Ware</t>
  </si>
  <si>
    <t>05-Garden and Accessories</t>
  </si>
  <si>
    <t>06-Hardware and Tools</t>
  </si>
  <si>
    <t>07-Surface Covering</t>
  </si>
  <si>
    <t>08-Door/Window/Wood</t>
  </si>
  <si>
    <t>09-Electrical and Accessories</t>
  </si>
  <si>
    <t>10-Home Appliance</t>
  </si>
  <si>
    <t>11-Paint and Chemical</t>
  </si>
  <si>
    <t>12-Houseware and Kitchen</t>
  </si>
  <si>
    <t>13-Furniture and Bedding</t>
  </si>
  <si>
    <t>14-Stationery &amp; Digital Equipment</t>
  </si>
  <si>
    <t>99-Office Use</t>
  </si>
  <si>
    <t>Promotion/Sector</t>
  </si>
  <si>
    <t>From 8:30AM to 6:30PM</t>
  </si>
  <si>
    <t>Yesterday Sale</t>
  </si>
  <si>
    <t>branch_code</t>
  </si>
  <si>
    <t>maincategory</t>
  </si>
  <si>
    <t>netamount</t>
  </si>
  <si>
    <t>MM-101</t>
  </si>
  <si>
    <t>MM-110</t>
  </si>
  <si>
    <t>MM-112</t>
  </si>
  <si>
    <t>MM-114</t>
  </si>
  <si>
    <t>MM-105</t>
  </si>
  <si>
    <t>MM-108</t>
  </si>
  <si>
    <t>MM-109</t>
  </si>
  <si>
    <t>MM-113</t>
  </si>
  <si>
    <t>MM-104</t>
  </si>
  <si>
    <t>MM-115</t>
  </si>
  <si>
    <t>MM-106</t>
  </si>
  <si>
    <t>MM-102</t>
  </si>
  <si>
    <t>MM-107</t>
  </si>
  <si>
    <t>MM-103</t>
  </si>
  <si>
    <t>Row Labels</t>
  </si>
  <si>
    <t>Sum of netamount</t>
  </si>
  <si>
    <t>Column Labels</t>
  </si>
  <si>
    <t>MM-205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</si>
</sst>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3" fillId="0" borderId="1" xfId="0" applyFont="1" applyBorder="1"/>
    <xf numFmtId="9" fontId="0" fillId="0" borderId="0" xfId="2" applyFont="1"/>
    <xf numFmtId="0" fontId="2" fillId="3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9" fontId="2" fillId="2" borderId="12" xfId="2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9" fontId="2" fillId="2" borderId="13" xfId="2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4" xfId="0" applyBorder="1" applyAlignment="1">
      <alignment horizontal="left"/>
    </xf>
    <xf numFmtId="164" fontId="0" fillId="0" borderId="10" xfId="0" applyNumberFormat="1" applyBorder="1"/>
    <xf numFmtId="164" fontId="0" fillId="0" borderId="11" xfId="0" applyNumberFormat="1" applyBorder="1"/>
    <xf numFmtId="9" fontId="0" fillId="0" borderId="12" xfId="2" applyFont="1" applyBorder="1"/>
    <xf numFmtId="9" fontId="0" fillId="0" borderId="12" xfId="0" applyNumberFormat="1" applyBorder="1"/>
    <xf numFmtId="9" fontId="0" fillId="0" borderId="15" xfId="0" applyNumberFormat="1" applyBorder="1"/>
    <xf numFmtId="164" fontId="0" fillId="0" borderId="16" xfId="0" applyNumberFormat="1" applyBorder="1"/>
    <xf numFmtId="9" fontId="0" fillId="0" borderId="13" xfId="0" applyNumberFormat="1" applyBorder="1"/>
    <xf numFmtId="9" fontId="0" fillId="0" borderId="13" xfId="2" applyFont="1" applyBorder="1"/>
    <xf numFmtId="164" fontId="0" fillId="0" borderId="11" xfId="1" applyNumberFormat="1" applyFont="1" applyBorder="1"/>
    <xf numFmtId="164" fontId="0" fillId="0" borderId="11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2" fillId="2" borderId="17" xfId="0" applyFont="1" applyFill="1" applyBorder="1" applyAlignment="1">
      <alignment horizontal="left"/>
    </xf>
    <xf numFmtId="164" fontId="2" fillId="2" borderId="18" xfId="0" applyNumberFormat="1" applyFont="1" applyFill="1" applyBorder="1"/>
    <xf numFmtId="9" fontId="0" fillId="0" borderId="19" xfId="2" applyFont="1" applyBorder="1"/>
    <xf numFmtId="9" fontId="0" fillId="0" borderId="19" xfId="0" applyNumberFormat="1" applyBorder="1"/>
    <xf numFmtId="164" fontId="0" fillId="0" borderId="0" xfId="1" applyNumberFormat="1" applyFont="1"/>
    <xf numFmtId="0" fontId="0" fillId="0" borderId="0" xfId="0" pivotButton="1"/>
    <xf numFmtId="164" fontId="2" fillId="3" borderId="10" xfId="1" applyNumberFormat="1" applyFont="1" applyFill="1" applyBorder="1" applyAlignment="1">
      <alignment horizontal="center"/>
    </xf>
    <xf numFmtId="164" fontId="0" fillId="0" borderId="0" xfId="0" applyNumberFormat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3">
    <dxf>
      <numFmt numFmtId="164" formatCode="_(* #,##0_);_(* \(#,##0\);_(* &quot;-&quot;??_);_(@_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T" refreshedDate="46144.685048148145" createdVersion="8" refreshedVersion="8" minRefreshableVersion="3" recordCount="208" xr:uid="{B05D095B-F9B2-4F2E-84C4-2EA7F97A1A49}">
  <cacheSource type="worksheet">
    <worksheetSource ref="A1:C209" sheet="Sheet1"/>
  </cacheSource>
  <cacheFields count="3">
    <cacheField name="branch_code" numFmtId="0">
      <sharedItems count="14">
        <s v="MM-101"/>
        <s v="MM-110"/>
        <s v="MM-112"/>
        <s v="MM-114"/>
        <s v="MM-105"/>
        <s v="MM-108"/>
        <s v="MM-109"/>
        <s v="MM-113"/>
        <s v="MM-104"/>
        <s v="MM-115"/>
        <s v="MM-106"/>
        <s v="MM-102"/>
        <s v="MM-107"/>
        <s v="MM-103"/>
      </sharedItems>
    </cacheField>
    <cacheField name="maincategory" numFmtId="0">
      <sharedItems count="15">
        <s v="07-Surface Covering"/>
        <s v="99-Office Use"/>
        <s v="14-Stationery &amp; Digital Equipment"/>
        <s v="02-Steel"/>
        <s v="06-Hardware and Tools"/>
        <s v="08-Door/Window/Wood"/>
        <s v="09-Electrical and Accessories"/>
        <s v="12-Houseware and Kitchen"/>
        <s v="13-Furniture and Bedding"/>
        <s v="05-Garden and Accessories"/>
        <s v="01-Cement and Block"/>
        <s v="04-Sanitary Ware"/>
        <s v="11-Paint and Chemical"/>
        <s v="03-Roofing/Ceiling/Wall"/>
        <s v="10-Home Appliance"/>
      </sharedItems>
    </cacheField>
    <cacheField name="netamount" numFmtId="0">
      <sharedItems containsSemiMixedTypes="0" containsString="0" containsNumber="1" minValue="-1712125.23" maxValue="68197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T" refreshedDate="46144.791381944444" createdVersion="8" refreshedVersion="8" minRefreshableVersion="3" recordCount="211" xr:uid="{47D94F5C-2944-488D-BB2D-070D33EEC75E}">
  <cacheSource type="worksheet">
    <worksheetSource name="to"/>
  </cacheSource>
  <cacheFields count="3">
    <cacheField name="branch_code" numFmtId="0">
      <sharedItems count="15">
        <s v="MM-101"/>
        <s v="MM-110"/>
        <s v="MM-112"/>
        <s v="MM-114"/>
        <s v="MM-105"/>
        <s v="MM-108"/>
        <s v="MM-109"/>
        <s v="MM-113"/>
        <s v="MM-104"/>
        <s v="MM-115"/>
        <s v="MM-106"/>
        <s v="MM-102"/>
        <s v="MM-107"/>
        <s v="MM-103"/>
        <s v="MM-205"/>
      </sharedItems>
    </cacheField>
    <cacheField name="maincategory" numFmtId="0">
      <sharedItems count="16">
        <s v="07-Surface Covering"/>
        <s v="99-Office Use"/>
        <s v="14-Stationery &amp; Digital Equipment"/>
        <s v="02-Steel"/>
        <s v="06-Hardware and Tools"/>
        <s v="08-Door/Window/Wood"/>
        <s v="09-Electrical and Accessories"/>
        <s v="12-Houseware and Kitchen"/>
        <s v="13-Furniture and Bedding"/>
        <s v="05-Garden and Accessories"/>
        <s v="01-Cement and Block"/>
        <s v="04-Sanitary Ware"/>
        <s v="11-Paint and Chemical"/>
        <s v="03-Roofing/Ceiling/Wall"/>
        <s v="10-Home Appliance"/>
        <s v="Promotion/Sector"/>
      </sharedItems>
    </cacheField>
    <cacheField name="netamount" numFmtId="164">
      <sharedItems containsSemiMixedTypes="0" containsString="0" containsNumber="1" minValue="-876308.57" maxValue="981780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8">
  <r>
    <x v="0"/>
    <x v="0"/>
    <n v="24534540"/>
  </r>
  <r>
    <x v="1"/>
    <x v="1"/>
    <n v="593347.22"/>
  </r>
  <r>
    <x v="0"/>
    <x v="2"/>
    <n v="3765350"/>
  </r>
  <r>
    <x v="1"/>
    <x v="3"/>
    <n v="18108250"/>
  </r>
  <r>
    <x v="2"/>
    <x v="4"/>
    <n v="1182740"/>
  </r>
  <r>
    <x v="1"/>
    <x v="2"/>
    <n v="2834900"/>
  </r>
  <r>
    <x v="3"/>
    <x v="3"/>
    <n v="1357700"/>
  </r>
  <r>
    <x v="4"/>
    <x v="5"/>
    <n v="4519175"/>
  </r>
  <r>
    <x v="5"/>
    <x v="5"/>
    <n v="8292260"/>
  </r>
  <r>
    <x v="0"/>
    <x v="6"/>
    <n v="21407178"/>
  </r>
  <r>
    <x v="6"/>
    <x v="6"/>
    <n v="18931451"/>
  </r>
  <r>
    <x v="0"/>
    <x v="7"/>
    <n v="28802990"/>
  </r>
  <r>
    <x v="0"/>
    <x v="8"/>
    <n v="16155900"/>
  </r>
  <r>
    <x v="0"/>
    <x v="5"/>
    <n v="6693015"/>
  </r>
  <r>
    <x v="3"/>
    <x v="4"/>
    <n v="6913705"/>
  </r>
  <r>
    <x v="4"/>
    <x v="9"/>
    <n v="11226530"/>
  </r>
  <r>
    <x v="3"/>
    <x v="10"/>
    <n v="225000"/>
  </r>
  <r>
    <x v="5"/>
    <x v="9"/>
    <n v="6423150"/>
  </r>
  <r>
    <x v="6"/>
    <x v="11"/>
    <n v="10143095"/>
  </r>
  <r>
    <x v="7"/>
    <x v="0"/>
    <n v="20921900"/>
  </r>
  <r>
    <x v="6"/>
    <x v="12"/>
    <n v="10740456.310000001"/>
  </r>
  <r>
    <x v="8"/>
    <x v="11"/>
    <n v="11074670"/>
  </r>
  <r>
    <x v="4"/>
    <x v="13"/>
    <n v="24367950"/>
  </r>
  <r>
    <x v="9"/>
    <x v="13"/>
    <n v="6287000"/>
  </r>
  <r>
    <x v="7"/>
    <x v="11"/>
    <n v="4556825"/>
  </r>
  <r>
    <x v="2"/>
    <x v="1"/>
    <n v="295735.8"/>
  </r>
  <r>
    <x v="10"/>
    <x v="10"/>
    <n v="2775700"/>
  </r>
  <r>
    <x v="9"/>
    <x v="9"/>
    <n v="1981700"/>
  </r>
  <r>
    <x v="5"/>
    <x v="4"/>
    <n v="10108335"/>
  </r>
  <r>
    <x v="5"/>
    <x v="11"/>
    <n v="12634980"/>
  </r>
  <r>
    <x v="0"/>
    <x v="10"/>
    <n v="3954520"/>
  </r>
  <r>
    <x v="0"/>
    <x v="1"/>
    <n v="-415260.97"/>
  </r>
  <r>
    <x v="9"/>
    <x v="5"/>
    <n v="1497720"/>
  </r>
  <r>
    <x v="4"/>
    <x v="12"/>
    <n v="27735841.760000002"/>
  </r>
  <r>
    <x v="11"/>
    <x v="14"/>
    <n v="20525000"/>
  </r>
  <r>
    <x v="10"/>
    <x v="9"/>
    <n v="3985550"/>
  </r>
  <r>
    <x v="12"/>
    <x v="4"/>
    <n v="8336690"/>
  </r>
  <r>
    <x v="3"/>
    <x v="9"/>
    <n v="11029145"/>
  </r>
  <r>
    <x v="4"/>
    <x v="14"/>
    <n v="42268600"/>
  </r>
  <r>
    <x v="13"/>
    <x v="14"/>
    <n v="58058900"/>
  </r>
  <r>
    <x v="2"/>
    <x v="10"/>
    <n v="2340000"/>
  </r>
  <r>
    <x v="7"/>
    <x v="9"/>
    <n v="2413050"/>
  </r>
  <r>
    <x v="11"/>
    <x v="1"/>
    <n v="589702.29"/>
  </r>
  <r>
    <x v="12"/>
    <x v="5"/>
    <n v="1791775"/>
  </r>
  <r>
    <x v="7"/>
    <x v="6"/>
    <n v="4517206"/>
  </r>
  <r>
    <x v="3"/>
    <x v="0"/>
    <n v="9646941"/>
  </r>
  <r>
    <x v="9"/>
    <x v="11"/>
    <n v="2529550"/>
  </r>
  <r>
    <x v="8"/>
    <x v="8"/>
    <n v="21114900"/>
  </r>
  <r>
    <x v="4"/>
    <x v="1"/>
    <n v="-636930.76"/>
  </r>
  <r>
    <x v="1"/>
    <x v="14"/>
    <n v="19504400"/>
  </r>
  <r>
    <x v="13"/>
    <x v="1"/>
    <n v="-1712125.23"/>
  </r>
  <r>
    <x v="12"/>
    <x v="6"/>
    <n v="13546980"/>
  </r>
  <r>
    <x v="3"/>
    <x v="5"/>
    <n v="3349600"/>
  </r>
  <r>
    <x v="11"/>
    <x v="0"/>
    <n v="24531928"/>
  </r>
  <r>
    <x v="10"/>
    <x v="2"/>
    <n v="1338500"/>
  </r>
  <r>
    <x v="1"/>
    <x v="7"/>
    <n v="8944600"/>
  </r>
  <r>
    <x v="9"/>
    <x v="14"/>
    <n v="4288000"/>
  </r>
  <r>
    <x v="8"/>
    <x v="0"/>
    <n v="31534714"/>
  </r>
  <r>
    <x v="9"/>
    <x v="8"/>
    <n v="4589000"/>
  </r>
  <r>
    <x v="4"/>
    <x v="6"/>
    <n v="13516713"/>
  </r>
  <r>
    <x v="5"/>
    <x v="10"/>
    <n v="1988000"/>
  </r>
  <r>
    <x v="11"/>
    <x v="7"/>
    <n v="12544109"/>
  </r>
  <r>
    <x v="4"/>
    <x v="7"/>
    <n v="38125437"/>
  </r>
  <r>
    <x v="1"/>
    <x v="5"/>
    <n v="6631160"/>
  </r>
  <r>
    <x v="13"/>
    <x v="3"/>
    <n v="2933900"/>
  </r>
  <r>
    <x v="10"/>
    <x v="4"/>
    <n v="6136410"/>
  </r>
  <r>
    <x v="1"/>
    <x v="13"/>
    <n v="16955030"/>
  </r>
  <r>
    <x v="9"/>
    <x v="2"/>
    <n v="37400"/>
  </r>
  <r>
    <x v="10"/>
    <x v="6"/>
    <n v="4951127"/>
  </r>
  <r>
    <x v="13"/>
    <x v="4"/>
    <n v="17364465"/>
  </r>
  <r>
    <x v="5"/>
    <x v="0"/>
    <n v="48030502.5"/>
  </r>
  <r>
    <x v="12"/>
    <x v="10"/>
    <n v="5267600"/>
  </r>
  <r>
    <x v="2"/>
    <x v="12"/>
    <n v="3196700"/>
  </r>
  <r>
    <x v="9"/>
    <x v="0"/>
    <n v="10264750"/>
  </r>
  <r>
    <x v="13"/>
    <x v="7"/>
    <n v="48288200"/>
  </r>
  <r>
    <x v="10"/>
    <x v="1"/>
    <n v="373718.88"/>
  </r>
  <r>
    <x v="2"/>
    <x v="14"/>
    <n v="32521300"/>
  </r>
  <r>
    <x v="8"/>
    <x v="13"/>
    <n v="6935950"/>
  </r>
  <r>
    <x v="0"/>
    <x v="11"/>
    <n v="29962990"/>
  </r>
  <r>
    <x v="11"/>
    <x v="11"/>
    <n v="16849000"/>
  </r>
  <r>
    <x v="4"/>
    <x v="2"/>
    <n v="2694150"/>
  </r>
  <r>
    <x v="2"/>
    <x v="11"/>
    <n v="1878785"/>
  </r>
  <r>
    <x v="2"/>
    <x v="0"/>
    <n v="767750"/>
  </r>
  <r>
    <x v="8"/>
    <x v="5"/>
    <n v="27551480"/>
  </r>
  <r>
    <x v="5"/>
    <x v="8"/>
    <n v="25326000"/>
  </r>
  <r>
    <x v="13"/>
    <x v="2"/>
    <n v="9092000"/>
  </r>
  <r>
    <x v="3"/>
    <x v="8"/>
    <n v="9504400"/>
  </r>
  <r>
    <x v="13"/>
    <x v="11"/>
    <n v="41449880"/>
  </r>
  <r>
    <x v="1"/>
    <x v="6"/>
    <n v="8050750"/>
  </r>
  <r>
    <x v="11"/>
    <x v="2"/>
    <n v="7483200"/>
  </r>
  <r>
    <x v="0"/>
    <x v="9"/>
    <n v="13962410"/>
  </r>
  <r>
    <x v="1"/>
    <x v="12"/>
    <n v="23491539.780000001"/>
  </r>
  <r>
    <x v="4"/>
    <x v="11"/>
    <n v="15615605"/>
  </r>
  <r>
    <x v="2"/>
    <x v="7"/>
    <n v="17994100"/>
  </r>
  <r>
    <x v="10"/>
    <x v="5"/>
    <n v="15158045"/>
  </r>
  <r>
    <x v="2"/>
    <x v="2"/>
    <n v="6074200"/>
  </r>
  <r>
    <x v="8"/>
    <x v="6"/>
    <n v="28264988"/>
  </r>
  <r>
    <x v="1"/>
    <x v="9"/>
    <n v="6319500"/>
  </r>
  <r>
    <x v="6"/>
    <x v="3"/>
    <n v="2004400"/>
  </r>
  <r>
    <x v="9"/>
    <x v="7"/>
    <n v="6731490"/>
  </r>
  <r>
    <x v="6"/>
    <x v="8"/>
    <n v="26352450"/>
  </r>
  <r>
    <x v="7"/>
    <x v="4"/>
    <n v="2717450"/>
  </r>
  <r>
    <x v="13"/>
    <x v="6"/>
    <n v="32870511"/>
  </r>
  <r>
    <x v="10"/>
    <x v="3"/>
    <n v="772000"/>
  </r>
  <r>
    <x v="10"/>
    <x v="13"/>
    <n v="22244450"/>
  </r>
  <r>
    <x v="10"/>
    <x v="0"/>
    <n v="19879126"/>
  </r>
  <r>
    <x v="6"/>
    <x v="10"/>
    <n v="4656100"/>
  </r>
  <r>
    <x v="3"/>
    <x v="11"/>
    <n v="3510515"/>
  </r>
  <r>
    <x v="3"/>
    <x v="2"/>
    <n v="3185950"/>
  </r>
  <r>
    <x v="9"/>
    <x v="4"/>
    <n v="497065"/>
  </r>
  <r>
    <x v="11"/>
    <x v="5"/>
    <n v="12674575"/>
  </r>
  <r>
    <x v="12"/>
    <x v="0"/>
    <n v="27581319"/>
  </r>
  <r>
    <x v="9"/>
    <x v="1"/>
    <n v="5664929.8300000001"/>
  </r>
  <r>
    <x v="1"/>
    <x v="0"/>
    <n v="20875318"/>
  </r>
  <r>
    <x v="12"/>
    <x v="3"/>
    <n v="9640650"/>
  </r>
  <r>
    <x v="10"/>
    <x v="12"/>
    <n v="8860630.1199999992"/>
  </r>
  <r>
    <x v="5"/>
    <x v="3"/>
    <n v="1556950"/>
  </r>
  <r>
    <x v="4"/>
    <x v="4"/>
    <n v="16582980"/>
  </r>
  <r>
    <x v="11"/>
    <x v="10"/>
    <n v="424600"/>
  </r>
  <r>
    <x v="5"/>
    <x v="7"/>
    <n v="12586300"/>
  </r>
  <r>
    <x v="13"/>
    <x v="8"/>
    <n v="68197750"/>
  </r>
  <r>
    <x v="1"/>
    <x v="11"/>
    <n v="7484300"/>
  </r>
  <r>
    <x v="8"/>
    <x v="3"/>
    <n v="27349915"/>
  </r>
  <r>
    <x v="3"/>
    <x v="12"/>
    <n v="12812377.720000001"/>
  </r>
  <r>
    <x v="7"/>
    <x v="14"/>
    <n v="19139200"/>
  </r>
  <r>
    <x v="6"/>
    <x v="14"/>
    <n v="65471800"/>
  </r>
  <r>
    <x v="1"/>
    <x v="10"/>
    <n v="3841000"/>
  </r>
  <r>
    <x v="0"/>
    <x v="12"/>
    <n v="13625270.970000001"/>
  </r>
  <r>
    <x v="8"/>
    <x v="12"/>
    <n v="16700634.09"/>
  </r>
  <r>
    <x v="1"/>
    <x v="8"/>
    <n v="20577300"/>
  </r>
  <r>
    <x v="7"/>
    <x v="7"/>
    <n v="9599590"/>
  </r>
  <r>
    <x v="13"/>
    <x v="12"/>
    <n v="14149843.23"/>
  </r>
  <r>
    <x v="6"/>
    <x v="1"/>
    <n v="-1264668.31"/>
  </r>
  <r>
    <x v="6"/>
    <x v="5"/>
    <n v="4819810"/>
  </r>
  <r>
    <x v="8"/>
    <x v="14"/>
    <n v="29726300"/>
  </r>
  <r>
    <x v="9"/>
    <x v="12"/>
    <n v="6885446.1699999999"/>
  </r>
  <r>
    <x v="10"/>
    <x v="11"/>
    <n v="14958030"/>
  </r>
  <r>
    <x v="13"/>
    <x v="9"/>
    <n v="11776510"/>
  </r>
  <r>
    <x v="3"/>
    <x v="7"/>
    <n v="11116000"/>
  </r>
  <r>
    <x v="8"/>
    <x v="1"/>
    <n v="-484048.09"/>
  </r>
  <r>
    <x v="8"/>
    <x v="4"/>
    <n v="9287325"/>
  </r>
  <r>
    <x v="6"/>
    <x v="7"/>
    <n v="14568200"/>
  </r>
  <r>
    <x v="13"/>
    <x v="10"/>
    <n v="3415800"/>
  </r>
  <r>
    <x v="7"/>
    <x v="3"/>
    <n v="21507300"/>
  </r>
  <r>
    <x v="8"/>
    <x v="7"/>
    <n v="23053380"/>
  </r>
  <r>
    <x v="0"/>
    <x v="14"/>
    <n v="43059600"/>
  </r>
  <r>
    <x v="6"/>
    <x v="9"/>
    <n v="8327050"/>
  </r>
  <r>
    <x v="5"/>
    <x v="1"/>
    <n v="-395563.65"/>
  </r>
  <r>
    <x v="12"/>
    <x v="9"/>
    <n v="6799300"/>
  </r>
  <r>
    <x v="12"/>
    <x v="12"/>
    <n v="13664642.92"/>
  </r>
  <r>
    <x v="7"/>
    <x v="1"/>
    <n v="138471.62"/>
  </r>
  <r>
    <x v="6"/>
    <x v="0"/>
    <n v="15943638"/>
  </r>
  <r>
    <x v="7"/>
    <x v="13"/>
    <n v="13153700"/>
  </r>
  <r>
    <x v="8"/>
    <x v="10"/>
    <n v="7423000"/>
  </r>
  <r>
    <x v="3"/>
    <x v="13"/>
    <n v="9088450"/>
  </r>
  <r>
    <x v="0"/>
    <x v="13"/>
    <n v="9983820"/>
  </r>
  <r>
    <x v="11"/>
    <x v="3"/>
    <n v="1400"/>
  </r>
  <r>
    <x v="2"/>
    <x v="8"/>
    <n v="15701750"/>
  </r>
  <r>
    <x v="7"/>
    <x v="2"/>
    <n v="530700"/>
  </r>
  <r>
    <x v="10"/>
    <x v="7"/>
    <n v="15193440"/>
  </r>
  <r>
    <x v="7"/>
    <x v="12"/>
    <n v="7649932.3799999999"/>
  </r>
  <r>
    <x v="4"/>
    <x v="3"/>
    <n v="50295750"/>
  </r>
  <r>
    <x v="4"/>
    <x v="0"/>
    <n v="49285012"/>
  </r>
  <r>
    <x v="7"/>
    <x v="10"/>
    <n v="1801000"/>
  </r>
  <r>
    <x v="11"/>
    <x v="8"/>
    <n v="6270500"/>
  </r>
  <r>
    <x v="6"/>
    <x v="2"/>
    <n v="2151550"/>
  </r>
  <r>
    <x v="12"/>
    <x v="1"/>
    <n v="-331837.92"/>
  </r>
  <r>
    <x v="11"/>
    <x v="13"/>
    <n v="13624200"/>
  </r>
  <r>
    <x v="12"/>
    <x v="13"/>
    <n v="12170740"/>
  </r>
  <r>
    <x v="2"/>
    <x v="5"/>
    <n v="411950"/>
  </r>
  <r>
    <x v="9"/>
    <x v="10"/>
    <n v="2515000"/>
  </r>
  <r>
    <x v="6"/>
    <x v="13"/>
    <n v="6202650"/>
  </r>
  <r>
    <x v="4"/>
    <x v="8"/>
    <n v="26555000"/>
  </r>
  <r>
    <x v="5"/>
    <x v="6"/>
    <n v="4195676"/>
  </r>
  <r>
    <x v="5"/>
    <x v="14"/>
    <n v="5496100"/>
  </r>
  <r>
    <x v="8"/>
    <x v="2"/>
    <n v="4333950"/>
  </r>
  <r>
    <x v="10"/>
    <x v="14"/>
    <n v="12488500"/>
  </r>
  <r>
    <x v="0"/>
    <x v="3"/>
    <n v="1662400"/>
  </r>
  <r>
    <x v="5"/>
    <x v="12"/>
    <n v="14651249.15"/>
  </r>
  <r>
    <x v="10"/>
    <x v="8"/>
    <n v="22664500"/>
  </r>
  <r>
    <x v="2"/>
    <x v="9"/>
    <n v="2202050"/>
  </r>
  <r>
    <x v="11"/>
    <x v="9"/>
    <n v="12515591"/>
  </r>
  <r>
    <x v="12"/>
    <x v="14"/>
    <n v="36962700"/>
  </r>
  <r>
    <x v="13"/>
    <x v="5"/>
    <n v="9987225"/>
  </r>
  <r>
    <x v="12"/>
    <x v="8"/>
    <n v="23291910"/>
  </r>
  <r>
    <x v="4"/>
    <x v="10"/>
    <n v="3455850"/>
  </r>
  <r>
    <x v="12"/>
    <x v="11"/>
    <n v="6249865"/>
  </r>
  <r>
    <x v="11"/>
    <x v="6"/>
    <n v="9205505"/>
  </r>
  <r>
    <x v="3"/>
    <x v="1"/>
    <n v="-296795.71999999997"/>
  </r>
  <r>
    <x v="5"/>
    <x v="2"/>
    <n v="4885600"/>
  </r>
  <r>
    <x v="11"/>
    <x v="4"/>
    <n v="12707025"/>
  </r>
  <r>
    <x v="9"/>
    <x v="3"/>
    <n v="1012800"/>
  </r>
  <r>
    <x v="7"/>
    <x v="8"/>
    <n v="10728000"/>
  </r>
  <r>
    <x v="12"/>
    <x v="7"/>
    <n v="25133760"/>
  </r>
  <r>
    <x v="5"/>
    <x v="13"/>
    <n v="36489876"/>
  </r>
  <r>
    <x v="13"/>
    <x v="13"/>
    <n v="14064320"/>
  </r>
  <r>
    <x v="7"/>
    <x v="5"/>
    <n v="6658630"/>
  </r>
  <r>
    <x v="0"/>
    <x v="4"/>
    <n v="14086930"/>
  </r>
  <r>
    <x v="8"/>
    <x v="9"/>
    <n v="25071100"/>
  </r>
  <r>
    <x v="3"/>
    <x v="6"/>
    <n v="18704806"/>
  </r>
  <r>
    <x v="1"/>
    <x v="4"/>
    <n v="9570925"/>
  </r>
  <r>
    <x v="11"/>
    <x v="12"/>
    <n v="19774054.710000001"/>
  </r>
  <r>
    <x v="12"/>
    <x v="2"/>
    <n v="2591100"/>
  </r>
  <r>
    <x v="3"/>
    <x v="14"/>
    <n v="23649700"/>
  </r>
  <r>
    <x v="13"/>
    <x v="0"/>
    <n v="52275092"/>
  </r>
  <r>
    <x v="2"/>
    <x v="6"/>
    <n v="23579398.199999999"/>
  </r>
  <r>
    <x v="6"/>
    <x v="4"/>
    <n v="11854020"/>
  </r>
  <r>
    <x v="9"/>
    <x v="6"/>
    <n v="46556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1">
  <r>
    <x v="0"/>
    <x v="0"/>
    <n v="66696237"/>
  </r>
  <r>
    <x v="1"/>
    <x v="1"/>
    <n v="736310.68"/>
  </r>
  <r>
    <x v="0"/>
    <x v="2"/>
    <n v="3933700"/>
  </r>
  <r>
    <x v="1"/>
    <x v="3"/>
    <n v="71555550"/>
  </r>
  <r>
    <x v="2"/>
    <x v="4"/>
    <n v="1576500"/>
  </r>
  <r>
    <x v="1"/>
    <x v="2"/>
    <n v="845900"/>
  </r>
  <r>
    <x v="3"/>
    <x v="3"/>
    <n v="1165450"/>
  </r>
  <r>
    <x v="4"/>
    <x v="5"/>
    <n v="46614180"/>
  </r>
  <r>
    <x v="5"/>
    <x v="5"/>
    <n v="8020230"/>
  </r>
  <r>
    <x v="0"/>
    <x v="6"/>
    <n v="44195371"/>
  </r>
  <r>
    <x v="6"/>
    <x v="6"/>
    <n v="17856635"/>
  </r>
  <r>
    <x v="0"/>
    <x v="7"/>
    <n v="23581430"/>
  </r>
  <r>
    <x v="0"/>
    <x v="8"/>
    <n v="11183100"/>
  </r>
  <r>
    <x v="0"/>
    <x v="5"/>
    <n v="14177210"/>
  </r>
  <r>
    <x v="3"/>
    <x v="4"/>
    <n v="4127350"/>
  </r>
  <r>
    <x v="4"/>
    <x v="9"/>
    <n v="12621625"/>
  </r>
  <r>
    <x v="3"/>
    <x v="10"/>
    <n v="5556400"/>
  </r>
  <r>
    <x v="5"/>
    <x v="9"/>
    <n v="15982900"/>
  </r>
  <r>
    <x v="6"/>
    <x v="11"/>
    <n v="8503390"/>
  </r>
  <r>
    <x v="7"/>
    <x v="0"/>
    <n v="12680990"/>
  </r>
  <r>
    <x v="6"/>
    <x v="12"/>
    <n v="4270345.6399999997"/>
  </r>
  <r>
    <x v="8"/>
    <x v="11"/>
    <n v="15549060"/>
  </r>
  <r>
    <x v="4"/>
    <x v="13"/>
    <n v="29097450"/>
  </r>
  <r>
    <x v="9"/>
    <x v="13"/>
    <n v="19671900"/>
  </r>
  <r>
    <x v="7"/>
    <x v="11"/>
    <n v="5214525"/>
  </r>
  <r>
    <x v="2"/>
    <x v="1"/>
    <n v="-262122"/>
  </r>
  <r>
    <x v="10"/>
    <x v="10"/>
    <n v="2641500"/>
  </r>
  <r>
    <x v="9"/>
    <x v="9"/>
    <n v="1612375"/>
  </r>
  <r>
    <x v="5"/>
    <x v="4"/>
    <n v="8911885"/>
  </r>
  <r>
    <x v="5"/>
    <x v="11"/>
    <n v="33681092.5"/>
  </r>
  <r>
    <x v="0"/>
    <x v="10"/>
    <n v="2636600"/>
  </r>
  <r>
    <x v="0"/>
    <x v="1"/>
    <n v="1948709.23"/>
  </r>
  <r>
    <x v="9"/>
    <x v="5"/>
    <n v="2552129"/>
  </r>
  <r>
    <x v="4"/>
    <x v="12"/>
    <n v="46756487.07"/>
  </r>
  <r>
    <x v="11"/>
    <x v="14"/>
    <n v="17334000"/>
  </r>
  <r>
    <x v="10"/>
    <x v="9"/>
    <n v="4802050"/>
  </r>
  <r>
    <x v="12"/>
    <x v="4"/>
    <n v="21244574"/>
  </r>
  <r>
    <x v="3"/>
    <x v="9"/>
    <n v="2004550"/>
  </r>
  <r>
    <x v="4"/>
    <x v="14"/>
    <n v="26654400"/>
  </r>
  <r>
    <x v="13"/>
    <x v="14"/>
    <n v="46938720"/>
  </r>
  <r>
    <x v="7"/>
    <x v="9"/>
    <n v="7486200"/>
  </r>
  <r>
    <x v="11"/>
    <x v="1"/>
    <n v="-162676.5"/>
  </r>
  <r>
    <x v="12"/>
    <x v="5"/>
    <n v="9997775"/>
  </r>
  <r>
    <x v="7"/>
    <x v="6"/>
    <n v="15655288"/>
  </r>
  <r>
    <x v="3"/>
    <x v="0"/>
    <n v="67825249"/>
  </r>
  <r>
    <x v="9"/>
    <x v="11"/>
    <n v="9189875"/>
  </r>
  <r>
    <x v="8"/>
    <x v="8"/>
    <n v="30494150"/>
  </r>
  <r>
    <x v="4"/>
    <x v="1"/>
    <n v="-876308.57"/>
  </r>
  <r>
    <x v="1"/>
    <x v="14"/>
    <n v="23819900"/>
  </r>
  <r>
    <x v="8"/>
    <x v="15"/>
    <n v="-9000"/>
  </r>
  <r>
    <x v="13"/>
    <x v="1"/>
    <n v="914799.27"/>
  </r>
  <r>
    <x v="12"/>
    <x v="6"/>
    <n v="33042285"/>
  </r>
  <r>
    <x v="3"/>
    <x v="5"/>
    <n v="1524210"/>
  </r>
  <r>
    <x v="11"/>
    <x v="0"/>
    <n v="17592812.5"/>
  </r>
  <r>
    <x v="10"/>
    <x v="2"/>
    <n v="1623800"/>
  </r>
  <r>
    <x v="1"/>
    <x v="7"/>
    <n v="7108200"/>
  </r>
  <r>
    <x v="9"/>
    <x v="14"/>
    <n v="6435700"/>
  </r>
  <r>
    <x v="8"/>
    <x v="0"/>
    <n v="56608038"/>
  </r>
  <r>
    <x v="14"/>
    <x v="6"/>
    <n v="14000"/>
  </r>
  <r>
    <x v="9"/>
    <x v="8"/>
    <n v="3616900"/>
  </r>
  <r>
    <x v="4"/>
    <x v="6"/>
    <n v="25890397"/>
  </r>
  <r>
    <x v="5"/>
    <x v="10"/>
    <n v="420000"/>
  </r>
  <r>
    <x v="11"/>
    <x v="7"/>
    <n v="10721887"/>
  </r>
  <r>
    <x v="4"/>
    <x v="7"/>
    <n v="20870537"/>
  </r>
  <r>
    <x v="1"/>
    <x v="5"/>
    <n v="2212130"/>
  </r>
  <r>
    <x v="13"/>
    <x v="3"/>
    <n v="311750"/>
  </r>
  <r>
    <x v="10"/>
    <x v="4"/>
    <n v="6779590"/>
  </r>
  <r>
    <x v="1"/>
    <x v="13"/>
    <n v="9949010"/>
  </r>
  <r>
    <x v="9"/>
    <x v="2"/>
    <n v="14200"/>
  </r>
  <r>
    <x v="10"/>
    <x v="6"/>
    <n v="11065030"/>
  </r>
  <r>
    <x v="13"/>
    <x v="4"/>
    <n v="21043660"/>
  </r>
  <r>
    <x v="5"/>
    <x v="0"/>
    <n v="92663962.5"/>
  </r>
  <r>
    <x v="12"/>
    <x v="10"/>
    <n v="22712000"/>
  </r>
  <r>
    <x v="2"/>
    <x v="12"/>
    <n v="768900"/>
  </r>
  <r>
    <x v="9"/>
    <x v="0"/>
    <n v="972400"/>
  </r>
  <r>
    <x v="13"/>
    <x v="7"/>
    <n v="38336100"/>
  </r>
  <r>
    <x v="10"/>
    <x v="1"/>
    <n v="865499"/>
  </r>
  <r>
    <x v="2"/>
    <x v="14"/>
    <n v="21826300"/>
  </r>
  <r>
    <x v="8"/>
    <x v="13"/>
    <n v="6723500"/>
  </r>
  <r>
    <x v="0"/>
    <x v="11"/>
    <n v="23212700"/>
  </r>
  <r>
    <x v="11"/>
    <x v="11"/>
    <n v="20914275"/>
  </r>
  <r>
    <x v="4"/>
    <x v="2"/>
    <n v="5307300"/>
  </r>
  <r>
    <x v="2"/>
    <x v="11"/>
    <n v="1646485"/>
  </r>
  <r>
    <x v="2"/>
    <x v="0"/>
    <n v="8605900"/>
  </r>
  <r>
    <x v="8"/>
    <x v="5"/>
    <n v="10617545"/>
  </r>
  <r>
    <x v="5"/>
    <x v="8"/>
    <n v="21720100"/>
  </r>
  <r>
    <x v="13"/>
    <x v="2"/>
    <n v="17655450"/>
  </r>
  <r>
    <x v="3"/>
    <x v="8"/>
    <n v="11622900"/>
  </r>
  <r>
    <x v="13"/>
    <x v="11"/>
    <n v="20213555"/>
  </r>
  <r>
    <x v="1"/>
    <x v="6"/>
    <n v="13227625"/>
  </r>
  <r>
    <x v="11"/>
    <x v="2"/>
    <n v="7774200"/>
  </r>
  <r>
    <x v="0"/>
    <x v="9"/>
    <n v="14480850"/>
  </r>
  <r>
    <x v="14"/>
    <x v="1"/>
    <n v="40000"/>
  </r>
  <r>
    <x v="1"/>
    <x v="12"/>
    <n v="27639774.32"/>
  </r>
  <r>
    <x v="4"/>
    <x v="11"/>
    <n v="19907105"/>
  </r>
  <r>
    <x v="2"/>
    <x v="7"/>
    <n v="13509500"/>
  </r>
  <r>
    <x v="10"/>
    <x v="5"/>
    <n v="4535630"/>
  </r>
  <r>
    <x v="2"/>
    <x v="2"/>
    <n v="5079150"/>
  </r>
  <r>
    <x v="8"/>
    <x v="6"/>
    <n v="22692942"/>
  </r>
  <r>
    <x v="1"/>
    <x v="9"/>
    <n v="1840900"/>
  </r>
  <r>
    <x v="6"/>
    <x v="3"/>
    <n v="5098400"/>
  </r>
  <r>
    <x v="9"/>
    <x v="7"/>
    <n v="3340900"/>
  </r>
  <r>
    <x v="6"/>
    <x v="8"/>
    <n v="20844500"/>
  </r>
  <r>
    <x v="7"/>
    <x v="4"/>
    <n v="14156760"/>
  </r>
  <r>
    <x v="13"/>
    <x v="6"/>
    <n v="29503511"/>
  </r>
  <r>
    <x v="10"/>
    <x v="3"/>
    <n v="4314100"/>
  </r>
  <r>
    <x v="10"/>
    <x v="13"/>
    <n v="22786010"/>
  </r>
  <r>
    <x v="10"/>
    <x v="0"/>
    <n v="19084288"/>
  </r>
  <r>
    <x v="6"/>
    <x v="10"/>
    <n v="4931400"/>
  </r>
  <r>
    <x v="3"/>
    <x v="11"/>
    <n v="2264495"/>
  </r>
  <r>
    <x v="3"/>
    <x v="2"/>
    <n v="1906250"/>
  </r>
  <r>
    <x v="11"/>
    <x v="5"/>
    <n v="10631000"/>
  </r>
  <r>
    <x v="9"/>
    <x v="4"/>
    <n v="5488120"/>
  </r>
  <r>
    <x v="12"/>
    <x v="0"/>
    <n v="13199355"/>
  </r>
  <r>
    <x v="9"/>
    <x v="1"/>
    <n v="176714.32"/>
  </r>
  <r>
    <x v="1"/>
    <x v="0"/>
    <n v="15333547"/>
  </r>
  <r>
    <x v="12"/>
    <x v="3"/>
    <n v="20968250"/>
  </r>
  <r>
    <x v="2"/>
    <x v="13"/>
    <n v="4173000"/>
  </r>
  <r>
    <x v="10"/>
    <x v="12"/>
    <n v="8314540"/>
  </r>
  <r>
    <x v="5"/>
    <x v="3"/>
    <n v="324750"/>
  </r>
  <r>
    <x v="4"/>
    <x v="4"/>
    <n v="27816550"/>
  </r>
  <r>
    <x v="11"/>
    <x v="10"/>
    <n v="1640500"/>
  </r>
  <r>
    <x v="5"/>
    <x v="7"/>
    <n v="12387020"/>
  </r>
  <r>
    <x v="13"/>
    <x v="8"/>
    <n v="28902200"/>
  </r>
  <r>
    <x v="1"/>
    <x v="11"/>
    <n v="3368950"/>
  </r>
  <r>
    <x v="8"/>
    <x v="3"/>
    <n v="98178048"/>
  </r>
  <r>
    <x v="3"/>
    <x v="12"/>
    <n v="7878025.3799999999"/>
  </r>
  <r>
    <x v="7"/>
    <x v="14"/>
    <n v="11900900"/>
  </r>
  <r>
    <x v="6"/>
    <x v="14"/>
    <n v="16549000"/>
  </r>
  <r>
    <x v="1"/>
    <x v="10"/>
    <n v="10212000"/>
  </r>
  <r>
    <x v="0"/>
    <x v="12"/>
    <n v="31911388.77"/>
  </r>
  <r>
    <x v="8"/>
    <x v="12"/>
    <n v="15789750.4"/>
  </r>
  <r>
    <x v="1"/>
    <x v="8"/>
    <n v="34976950"/>
  </r>
  <r>
    <x v="13"/>
    <x v="12"/>
    <n v="25497771.73"/>
  </r>
  <r>
    <x v="7"/>
    <x v="7"/>
    <n v="6644900"/>
  </r>
  <r>
    <x v="6"/>
    <x v="1"/>
    <n v="-826402.64"/>
  </r>
  <r>
    <x v="6"/>
    <x v="5"/>
    <n v="3219650"/>
  </r>
  <r>
    <x v="8"/>
    <x v="14"/>
    <n v="26697100"/>
  </r>
  <r>
    <x v="9"/>
    <x v="12"/>
    <n v="4596385.68"/>
  </r>
  <r>
    <x v="10"/>
    <x v="11"/>
    <n v="12304930"/>
  </r>
  <r>
    <x v="13"/>
    <x v="9"/>
    <n v="10165450"/>
  </r>
  <r>
    <x v="3"/>
    <x v="7"/>
    <n v="7551085"/>
  </r>
  <r>
    <x v="8"/>
    <x v="1"/>
    <n v="-623169.4"/>
  </r>
  <r>
    <x v="3"/>
    <x v="15"/>
    <n v="-4750"/>
  </r>
  <r>
    <x v="8"/>
    <x v="4"/>
    <n v="11672165"/>
  </r>
  <r>
    <x v="6"/>
    <x v="7"/>
    <n v="12919400"/>
  </r>
  <r>
    <x v="13"/>
    <x v="10"/>
    <n v="2840100"/>
  </r>
  <r>
    <x v="7"/>
    <x v="3"/>
    <n v="2507650"/>
  </r>
  <r>
    <x v="8"/>
    <x v="7"/>
    <n v="14079500"/>
  </r>
  <r>
    <x v="0"/>
    <x v="14"/>
    <n v="32528100"/>
  </r>
  <r>
    <x v="6"/>
    <x v="9"/>
    <n v="22156050"/>
  </r>
  <r>
    <x v="5"/>
    <x v="1"/>
    <n v="-704563.55"/>
  </r>
  <r>
    <x v="12"/>
    <x v="9"/>
    <n v="8530550"/>
  </r>
  <r>
    <x v="12"/>
    <x v="12"/>
    <n v="15661434.949999999"/>
  </r>
  <r>
    <x v="7"/>
    <x v="1"/>
    <n v="91866.240000000005"/>
  </r>
  <r>
    <x v="6"/>
    <x v="0"/>
    <n v="12080016"/>
  </r>
  <r>
    <x v="7"/>
    <x v="13"/>
    <n v="12190340"/>
  </r>
  <r>
    <x v="8"/>
    <x v="10"/>
    <n v="7534800"/>
  </r>
  <r>
    <x v="3"/>
    <x v="13"/>
    <n v="58207177.5"/>
  </r>
  <r>
    <x v="0"/>
    <x v="13"/>
    <n v="8895500"/>
  </r>
  <r>
    <x v="2"/>
    <x v="8"/>
    <n v="5308700"/>
  </r>
  <r>
    <x v="7"/>
    <x v="2"/>
    <n v="1365100"/>
  </r>
  <r>
    <x v="10"/>
    <x v="7"/>
    <n v="11232900"/>
  </r>
  <r>
    <x v="7"/>
    <x v="12"/>
    <n v="5466273.7599999998"/>
  </r>
  <r>
    <x v="4"/>
    <x v="3"/>
    <n v="13802650"/>
  </r>
  <r>
    <x v="4"/>
    <x v="0"/>
    <n v="64052418.5"/>
  </r>
  <r>
    <x v="7"/>
    <x v="10"/>
    <n v="813000"/>
  </r>
  <r>
    <x v="11"/>
    <x v="8"/>
    <n v="3392500"/>
  </r>
  <r>
    <x v="6"/>
    <x v="2"/>
    <n v="1928600"/>
  </r>
  <r>
    <x v="12"/>
    <x v="1"/>
    <n v="2003084.05"/>
  </r>
  <r>
    <x v="11"/>
    <x v="13"/>
    <n v="5234790"/>
  </r>
  <r>
    <x v="12"/>
    <x v="13"/>
    <n v="15696290"/>
  </r>
  <r>
    <x v="2"/>
    <x v="5"/>
    <n v="839220"/>
  </r>
  <r>
    <x v="9"/>
    <x v="10"/>
    <n v="6600000"/>
  </r>
  <r>
    <x v="6"/>
    <x v="13"/>
    <n v="2983900"/>
  </r>
  <r>
    <x v="4"/>
    <x v="8"/>
    <n v="34289000"/>
  </r>
  <r>
    <x v="5"/>
    <x v="6"/>
    <n v="4254950"/>
  </r>
  <r>
    <x v="5"/>
    <x v="14"/>
    <n v="17260100"/>
  </r>
  <r>
    <x v="8"/>
    <x v="2"/>
    <n v="2835700"/>
  </r>
  <r>
    <x v="10"/>
    <x v="14"/>
    <n v="7617500"/>
  </r>
  <r>
    <x v="0"/>
    <x v="3"/>
    <n v="9599100"/>
  </r>
  <r>
    <x v="5"/>
    <x v="12"/>
    <n v="16847024.550000001"/>
  </r>
  <r>
    <x v="10"/>
    <x v="8"/>
    <n v="19216400"/>
  </r>
  <r>
    <x v="2"/>
    <x v="9"/>
    <n v="1123310"/>
  </r>
  <r>
    <x v="11"/>
    <x v="9"/>
    <n v="15023250"/>
  </r>
  <r>
    <x v="12"/>
    <x v="14"/>
    <n v="66020500"/>
  </r>
  <r>
    <x v="13"/>
    <x v="5"/>
    <n v="12692355"/>
  </r>
  <r>
    <x v="12"/>
    <x v="8"/>
    <n v="30163500"/>
  </r>
  <r>
    <x v="4"/>
    <x v="10"/>
    <n v="7677100"/>
  </r>
  <r>
    <x v="12"/>
    <x v="11"/>
    <n v="9278825"/>
  </r>
  <r>
    <x v="11"/>
    <x v="6"/>
    <n v="8259896"/>
  </r>
  <r>
    <x v="3"/>
    <x v="1"/>
    <n v="-422514.88"/>
  </r>
  <r>
    <x v="5"/>
    <x v="2"/>
    <n v="968900"/>
  </r>
  <r>
    <x v="11"/>
    <x v="4"/>
    <n v="17392120"/>
  </r>
  <r>
    <x v="9"/>
    <x v="3"/>
    <n v="16688800"/>
  </r>
  <r>
    <x v="7"/>
    <x v="8"/>
    <n v="9946700"/>
  </r>
  <r>
    <x v="12"/>
    <x v="7"/>
    <n v="13285240"/>
  </r>
  <r>
    <x v="5"/>
    <x v="13"/>
    <n v="4847340"/>
  </r>
  <r>
    <x v="13"/>
    <x v="13"/>
    <n v="13512340"/>
  </r>
  <r>
    <x v="7"/>
    <x v="5"/>
    <n v="9886205"/>
  </r>
  <r>
    <x v="0"/>
    <x v="4"/>
    <n v="11142224"/>
  </r>
  <r>
    <x v="8"/>
    <x v="9"/>
    <n v="16823640"/>
  </r>
  <r>
    <x v="3"/>
    <x v="6"/>
    <n v="7071340"/>
  </r>
  <r>
    <x v="1"/>
    <x v="4"/>
    <n v="13309120"/>
  </r>
  <r>
    <x v="11"/>
    <x v="12"/>
    <n v="5332161"/>
  </r>
  <r>
    <x v="12"/>
    <x v="2"/>
    <n v="2212700"/>
  </r>
  <r>
    <x v="3"/>
    <x v="14"/>
    <n v="46263100"/>
  </r>
  <r>
    <x v="13"/>
    <x v="0"/>
    <n v="58799308"/>
  </r>
  <r>
    <x v="2"/>
    <x v="6"/>
    <n v="12759025"/>
  </r>
  <r>
    <x v="6"/>
    <x v="4"/>
    <n v="10073735"/>
  </r>
  <r>
    <x v="9"/>
    <x v="6"/>
    <n v="15987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36F8EF-DD50-4AA9-BDD7-FF9F79FBEC2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0" firstHeaderRow="1" firstDataRow="2" firstDataCol="1"/>
  <pivotFields count="3">
    <pivotField axis="axisCol" showAll="0">
      <items count="15">
        <item x="0"/>
        <item x="11"/>
        <item x="13"/>
        <item x="8"/>
        <item x="4"/>
        <item x="10"/>
        <item x="12"/>
        <item x="5"/>
        <item x="6"/>
        <item x="1"/>
        <item x="2"/>
        <item x="7"/>
        <item x="3"/>
        <item x="9"/>
        <item t="default"/>
      </items>
    </pivotField>
    <pivotField axis="axisRow" showAll="0">
      <items count="16">
        <item x="10"/>
        <item x="3"/>
        <item x="13"/>
        <item x="11"/>
        <item x="9"/>
        <item x="4"/>
        <item x="0"/>
        <item x="5"/>
        <item x="6"/>
        <item x="14"/>
        <item x="12"/>
        <item x="7"/>
        <item x="8"/>
        <item x="2"/>
        <item x="1"/>
        <item t="default"/>
      </items>
    </pivotField>
    <pivotField dataField="1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0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Sum of net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022F03-425F-443C-929D-A9FA985599C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Q21" firstHeaderRow="1" firstDataRow="2" firstDataCol="1"/>
  <pivotFields count="3">
    <pivotField axis="axisCol" showAll="0">
      <items count="16">
        <item x="0"/>
        <item x="11"/>
        <item x="13"/>
        <item x="8"/>
        <item x="4"/>
        <item x="10"/>
        <item x="12"/>
        <item x="5"/>
        <item x="6"/>
        <item x="1"/>
        <item x="2"/>
        <item x="7"/>
        <item x="3"/>
        <item x="9"/>
        <item x="14"/>
        <item t="default"/>
      </items>
    </pivotField>
    <pivotField axis="axisRow" showAll="0">
      <items count="17">
        <item x="10"/>
        <item x="3"/>
        <item x="13"/>
        <item x="11"/>
        <item x="9"/>
        <item x="4"/>
        <item x="0"/>
        <item x="5"/>
        <item x="6"/>
        <item x="14"/>
        <item x="12"/>
        <item x="7"/>
        <item x="8"/>
        <item x="2"/>
        <item x="1"/>
        <item x="15"/>
        <item t="default"/>
      </items>
    </pivotField>
    <pivotField dataField="1" numFmtId="164"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colItems>
  <dataFields count="1">
    <dataField name="Sum of netamount" fld="2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9B724A8-42EC-4E45-B83B-FBF68861AF7E}" autoFormatId="16" applyNumberFormats="0" applyBorderFormats="0" applyFontFormats="0" applyPatternFormats="0" applyAlignmentFormats="0" applyWidthHeightFormats="0">
  <queryTableRefresh nextId="4">
    <queryTableFields count="3">
      <queryTableField id="1" name="branch_code" tableColumnId="1"/>
      <queryTableField id="2" name="maincategory" tableColumnId="2"/>
      <queryTableField id="3" name="netamount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92987-E671-46B2-8102-C249E6CF4645}" name="to" displayName="to" ref="A1:C212" tableType="queryTable" totalsRowShown="0">
  <autoFilter ref="A1:C212" xr:uid="{90C92987-E671-46B2-8102-C249E6CF4645}"/>
  <tableColumns count="3">
    <tableColumn id="1" xr3:uid="{D5DD4EA6-2C82-46C6-8EC0-4DF5AA09BCDE}" uniqueName="1" name="branch_code" queryTableFieldId="1" dataDxfId="2"/>
    <tableColumn id="2" xr3:uid="{F60BA75C-C7E3-42AF-A1F2-C72317957ABE}" uniqueName="2" name="maincategory" queryTableFieldId="2" dataDxfId="1"/>
    <tableColumn id="3" xr3:uid="{31C0A786-2030-4BCD-9555-A45B9132BEBC}" uniqueName="3" name="netamount" queryTableFieldId="3" dataDxfId="0" dataCellStyle="Comm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B1D47-9FF5-4F11-BD6A-2AF67F8CABF6}">
  <dimension ref="A1:AW20"/>
  <sheetViews>
    <sheetView tabSelected="1" topLeftCell="U1" zoomScale="80" zoomScaleNormal="80" workbookViewId="0">
      <selection activeCell="AU4" sqref="AU4:AU20"/>
    </sheetView>
  </sheetViews>
  <sheetFormatPr defaultRowHeight="14.4" x14ac:dyDescent="0.3"/>
  <cols>
    <col min="1" max="1" width="30" bestFit="1" customWidth="1"/>
    <col min="2" max="2" width="15.109375" bestFit="1" customWidth="1"/>
    <col min="3" max="3" width="12.6640625" bestFit="1" customWidth="1"/>
    <col min="4" max="4" width="8" bestFit="1" customWidth="1"/>
    <col min="5" max="5" width="15.109375" bestFit="1" customWidth="1"/>
    <col min="6" max="6" width="12.6640625" bestFit="1" customWidth="1"/>
    <col min="7" max="7" width="7.33203125" bestFit="1" customWidth="1"/>
    <col min="8" max="8" width="15.109375" bestFit="1" customWidth="1"/>
    <col min="9" max="9" width="12.6640625" bestFit="1" customWidth="1"/>
    <col min="10" max="10" width="8" bestFit="1" customWidth="1"/>
    <col min="11" max="11" width="15.109375" bestFit="1" customWidth="1"/>
    <col min="12" max="12" width="12.6640625" bestFit="1" customWidth="1"/>
    <col min="13" max="13" width="7.33203125" bestFit="1" customWidth="1"/>
    <col min="14" max="14" width="15.109375" style="25" bestFit="1" customWidth="1"/>
    <col min="15" max="15" width="12.6640625" bestFit="1" customWidth="1"/>
    <col min="16" max="16" width="8.33203125" bestFit="1" customWidth="1"/>
    <col min="17" max="17" width="15.109375" bestFit="1" customWidth="1"/>
    <col min="18" max="18" width="13.6640625" customWidth="1"/>
    <col min="19" max="19" width="7.33203125" bestFit="1" customWidth="1"/>
    <col min="20" max="20" width="15.109375" bestFit="1" customWidth="1"/>
    <col min="21" max="21" width="12.6640625" bestFit="1" customWidth="1"/>
    <col min="22" max="22" width="7.33203125" bestFit="1" customWidth="1"/>
    <col min="23" max="23" width="15.109375" bestFit="1" customWidth="1"/>
    <col min="24" max="24" width="12.6640625" bestFit="1" customWidth="1"/>
    <col min="25" max="25" width="7.33203125" bestFit="1" customWidth="1"/>
    <col min="26" max="26" width="14.109375" bestFit="1" customWidth="1"/>
    <col min="27" max="27" width="12.6640625" bestFit="1" customWidth="1"/>
    <col min="28" max="28" width="7.33203125" bestFit="1" customWidth="1"/>
    <col min="29" max="29" width="14.109375" bestFit="1" customWidth="1"/>
    <col min="30" max="30" width="12.6640625" bestFit="1" customWidth="1"/>
    <col min="31" max="31" width="7.33203125" bestFit="1" customWidth="1"/>
    <col min="32" max="32" width="13.33203125" bestFit="1" customWidth="1"/>
    <col min="33" max="33" width="11.6640625" bestFit="1" customWidth="1"/>
    <col min="34" max="34" width="7.33203125" bestFit="1" customWidth="1"/>
    <col min="35" max="35" width="14.109375" bestFit="1" customWidth="1"/>
    <col min="36" max="36" width="12.6640625" bestFit="1" customWidth="1"/>
    <col min="37" max="37" width="7.33203125" bestFit="1" customWidth="1"/>
    <col min="38" max="38" width="14.109375" bestFit="1" customWidth="1"/>
    <col min="39" max="39" width="12.6640625" bestFit="1" customWidth="1"/>
    <col min="40" max="40" width="7.33203125" bestFit="1" customWidth="1"/>
    <col min="41" max="41" width="13.33203125" bestFit="1" customWidth="1"/>
    <col min="42" max="42" width="11.6640625" bestFit="1" customWidth="1"/>
    <col min="43" max="43" width="7.33203125" bestFit="1" customWidth="1"/>
    <col min="44" max="44" width="13.33203125" bestFit="1" customWidth="1"/>
    <col min="45" max="45" width="10.33203125" bestFit="1" customWidth="1"/>
    <col min="46" max="46" width="7.33203125" bestFit="1" customWidth="1"/>
    <col min="47" max="47" width="15.109375" bestFit="1" customWidth="1"/>
    <col min="48" max="48" width="14.5546875" bestFit="1" customWidth="1"/>
    <col min="49" max="49" width="7.33203125" bestFit="1" customWidth="1"/>
  </cols>
  <sheetData>
    <row r="1" spans="1:49" ht="18.600000000000001" thickBot="1" x14ac:dyDescent="0.4">
      <c r="A1" s="1" t="s">
        <v>35</v>
      </c>
      <c r="D1" s="2"/>
      <c r="G1" s="2"/>
    </row>
    <row r="2" spans="1:49" x14ac:dyDescent="0.3">
      <c r="A2" s="31" t="s">
        <v>0</v>
      </c>
      <c r="B2" s="33" t="s">
        <v>1</v>
      </c>
      <c r="C2" s="34"/>
      <c r="D2" s="35"/>
      <c r="E2" s="33" t="s">
        <v>2</v>
      </c>
      <c r="F2" s="34"/>
      <c r="G2" s="35"/>
      <c r="H2" s="29" t="s">
        <v>3</v>
      </c>
      <c r="I2" s="30"/>
      <c r="J2" s="36"/>
      <c r="K2" s="29" t="s">
        <v>4</v>
      </c>
      <c r="L2" s="30"/>
      <c r="M2" s="37"/>
      <c r="N2" s="29" t="s">
        <v>5</v>
      </c>
      <c r="O2" s="30"/>
      <c r="P2" s="36"/>
      <c r="Q2" s="29" t="s">
        <v>6</v>
      </c>
      <c r="R2" s="30"/>
      <c r="S2" s="36"/>
      <c r="T2" s="29" t="s">
        <v>7</v>
      </c>
      <c r="U2" s="30"/>
      <c r="V2" s="36"/>
      <c r="W2" s="29" t="s">
        <v>8</v>
      </c>
      <c r="X2" s="30"/>
      <c r="Y2" s="36"/>
      <c r="Z2" s="29" t="s">
        <v>9</v>
      </c>
      <c r="AA2" s="30"/>
      <c r="AB2" s="30"/>
      <c r="AC2" s="29" t="s">
        <v>10</v>
      </c>
      <c r="AD2" s="30"/>
      <c r="AE2" s="30"/>
      <c r="AF2" s="29" t="s">
        <v>11</v>
      </c>
      <c r="AG2" s="30"/>
      <c r="AH2" s="30"/>
      <c r="AI2" s="29" t="s">
        <v>12</v>
      </c>
      <c r="AJ2" s="30"/>
      <c r="AK2" s="30"/>
      <c r="AL2" s="29" t="s">
        <v>13</v>
      </c>
      <c r="AM2" s="30"/>
      <c r="AN2" s="30"/>
      <c r="AO2" s="29" t="s">
        <v>14</v>
      </c>
      <c r="AP2" s="30"/>
      <c r="AQ2" s="30"/>
      <c r="AR2" s="29" t="s">
        <v>15</v>
      </c>
      <c r="AS2" s="30"/>
      <c r="AT2" s="30"/>
      <c r="AU2" s="29" t="s">
        <v>16</v>
      </c>
      <c r="AV2" s="30"/>
      <c r="AW2" s="36"/>
    </row>
    <row r="3" spans="1:49" x14ac:dyDescent="0.3">
      <c r="A3" s="32"/>
      <c r="B3" s="3" t="s">
        <v>36</v>
      </c>
      <c r="C3" s="4" t="s">
        <v>17</v>
      </c>
      <c r="D3" s="5" t="s">
        <v>18</v>
      </c>
      <c r="E3" s="3" t="s">
        <v>36</v>
      </c>
      <c r="F3" s="4" t="s">
        <v>17</v>
      </c>
      <c r="G3" s="5" t="s">
        <v>18</v>
      </c>
      <c r="H3" s="3" t="s">
        <v>36</v>
      </c>
      <c r="I3" s="4" t="s">
        <v>17</v>
      </c>
      <c r="J3" s="5" t="s">
        <v>18</v>
      </c>
      <c r="K3" s="3" t="s">
        <v>36</v>
      </c>
      <c r="L3" s="6" t="s">
        <v>17</v>
      </c>
      <c r="M3" s="5" t="s">
        <v>18</v>
      </c>
      <c r="N3" s="27" t="s">
        <v>36</v>
      </c>
      <c r="O3" s="4" t="s">
        <v>17</v>
      </c>
      <c r="P3" s="5" t="s">
        <v>18</v>
      </c>
      <c r="Q3" s="3" t="s">
        <v>36</v>
      </c>
      <c r="R3" s="4" t="s">
        <v>17</v>
      </c>
      <c r="S3" s="5" t="s">
        <v>18</v>
      </c>
      <c r="T3" s="3" t="s">
        <v>36</v>
      </c>
      <c r="U3" s="4" t="s">
        <v>17</v>
      </c>
      <c r="V3" s="5" t="s">
        <v>18</v>
      </c>
      <c r="W3" s="3" t="s">
        <v>36</v>
      </c>
      <c r="X3" s="4" t="s">
        <v>17</v>
      </c>
      <c r="Y3" s="5" t="s">
        <v>18</v>
      </c>
      <c r="Z3" s="3" t="s">
        <v>36</v>
      </c>
      <c r="AA3" s="4" t="s">
        <v>17</v>
      </c>
      <c r="AB3" s="7" t="s">
        <v>18</v>
      </c>
      <c r="AC3" s="3" t="s">
        <v>36</v>
      </c>
      <c r="AD3" s="4" t="s">
        <v>17</v>
      </c>
      <c r="AE3" s="7" t="s">
        <v>18</v>
      </c>
      <c r="AF3" s="3" t="s">
        <v>36</v>
      </c>
      <c r="AG3" s="4" t="s">
        <v>17</v>
      </c>
      <c r="AH3" s="7" t="s">
        <v>18</v>
      </c>
      <c r="AI3" s="3" t="s">
        <v>36</v>
      </c>
      <c r="AJ3" s="4" t="s">
        <v>17</v>
      </c>
      <c r="AK3" s="6" t="s">
        <v>18</v>
      </c>
      <c r="AL3" s="3" t="s">
        <v>36</v>
      </c>
      <c r="AM3" s="4" t="s">
        <v>17</v>
      </c>
      <c r="AN3" s="6" t="s">
        <v>18</v>
      </c>
      <c r="AO3" s="3" t="s">
        <v>36</v>
      </c>
      <c r="AP3" s="4" t="s">
        <v>17</v>
      </c>
      <c r="AQ3" s="6" t="s">
        <v>18</v>
      </c>
      <c r="AR3" s="3" t="s">
        <v>36</v>
      </c>
      <c r="AS3" s="4" t="s">
        <v>17</v>
      </c>
      <c r="AT3" s="6" t="s">
        <v>18</v>
      </c>
      <c r="AU3" s="3" t="s">
        <v>36</v>
      </c>
      <c r="AV3" s="4" t="s">
        <v>17</v>
      </c>
      <c r="AW3" s="8" t="s">
        <v>18</v>
      </c>
    </row>
    <row r="4" spans="1:49" x14ac:dyDescent="0.3">
      <c r="A4" s="9" t="s">
        <v>19</v>
      </c>
      <c r="B4" s="11">
        <v>6126685.555555556</v>
      </c>
      <c r="C4" s="11">
        <v>7242200</v>
      </c>
      <c r="D4" s="12">
        <f t="shared" ref="D4:D18" si="0">(C4-B4)/B4</f>
        <v>0.18207470161952702</v>
      </c>
      <c r="E4" s="11">
        <v>1107522.2222222222</v>
      </c>
      <c r="F4" s="11">
        <v>346000</v>
      </c>
      <c r="G4" s="12">
        <f t="shared" ref="G4:G18" si="1">(F4-E4)/E4</f>
        <v>-0.68759091866729538</v>
      </c>
      <c r="H4" s="11">
        <v>4639038.888888889</v>
      </c>
      <c r="I4" s="11">
        <v>4885500</v>
      </c>
      <c r="J4" s="12">
        <f>(I4-H4)/H4</f>
        <v>5.3127623418164897E-2</v>
      </c>
      <c r="K4" s="11">
        <v>5066061.111111111</v>
      </c>
      <c r="L4" s="11">
        <v>281400</v>
      </c>
      <c r="M4" s="14">
        <f t="shared" ref="M4:M20" si="2">(L4-K4)/K4</f>
        <v>-0.94445388758086224</v>
      </c>
      <c r="N4" s="11">
        <v>8261461.111111111</v>
      </c>
      <c r="O4" s="11">
        <v>7070200</v>
      </c>
      <c r="P4" s="13">
        <f t="shared" ref="P4:P20" si="3">(O4-N4)/N4</f>
        <v>-0.14419496685749023</v>
      </c>
      <c r="Q4" s="11">
        <v>1562522.5866666667</v>
      </c>
      <c r="R4" s="11">
        <v>432500</v>
      </c>
      <c r="S4" s="13">
        <f t="shared" ref="S4:S20" si="4">(R4-Q4)/Q4</f>
        <v>-0.7232040012153339</v>
      </c>
      <c r="T4" s="11">
        <v>8503556.1111111119</v>
      </c>
      <c r="U4" s="11">
        <v>13893000</v>
      </c>
      <c r="V4" s="13">
        <f t="shared" ref="V4:V20" si="5">(U4-T4)/T4</f>
        <v>0.63378706725375855</v>
      </c>
      <c r="W4" s="15">
        <v>1812700</v>
      </c>
      <c r="X4" s="15">
        <v>265000</v>
      </c>
      <c r="Y4" s="14">
        <f t="shared" ref="Y4:Y20" si="6">(X4-W4)/W4</f>
        <v>-0.85380923484305182</v>
      </c>
      <c r="Z4" s="11">
        <v>5293059.555555556</v>
      </c>
      <c r="AA4" s="11">
        <v>6854750</v>
      </c>
      <c r="AB4" s="16">
        <f t="shared" ref="AB4:AB20" si="7">(AA4-Z4)/Z4</f>
        <v>0.2950449410313748</v>
      </c>
      <c r="AC4" s="11">
        <v>5668538.888888889</v>
      </c>
      <c r="AD4" s="11">
        <v>3931200</v>
      </c>
      <c r="AE4" s="17">
        <f t="shared" ref="AE4:AE20" si="8">(AD4-AC4)/AC4</f>
        <v>-0.30648795446994476</v>
      </c>
      <c r="AF4" s="11">
        <v>866666.66666666663</v>
      </c>
      <c r="AG4" s="11">
        <v>0</v>
      </c>
      <c r="AH4" s="16">
        <f t="shared" ref="AH4:AH20" si="9">(AG4-AF4)/AF4</f>
        <v>-1</v>
      </c>
      <c r="AI4" s="11">
        <v>2743544.4444444445</v>
      </c>
      <c r="AJ4" s="11">
        <v>691200</v>
      </c>
      <c r="AK4" s="16">
        <f t="shared" ref="AK4:AK20" si="10">(AJ4-AI4)/AI4</f>
        <v>-0.74806313001429614</v>
      </c>
      <c r="AL4" s="11">
        <v>4020755.5555555555</v>
      </c>
      <c r="AM4" s="11">
        <v>3564000</v>
      </c>
      <c r="AN4" s="16">
        <f t="shared" ref="AN4:AN20" si="11">(AM4-AL4)/AL4</f>
        <v>-0.11359943404777431</v>
      </c>
      <c r="AO4" s="11">
        <v>4315511.111111111</v>
      </c>
      <c r="AP4" s="11">
        <v>2064900</v>
      </c>
      <c r="AQ4" s="16">
        <f t="shared" ref="AQ4:AQ20" si="12">(AP4-AO4)/AO4</f>
        <v>-0.5215166994510757</v>
      </c>
      <c r="AR4" s="10">
        <v>0</v>
      </c>
      <c r="AS4" s="10">
        <v>0</v>
      </c>
      <c r="AT4" s="16" t="e">
        <f t="shared" ref="AT4:AT20" si="13">(AS4-AR4)/AR4</f>
        <v>#DIV/0!</v>
      </c>
      <c r="AU4" s="18">
        <v>59987623.808888882</v>
      </c>
      <c r="AV4" s="18">
        <v>51521850</v>
      </c>
      <c r="AW4" s="13">
        <f t="shared" ref="AW4:AW20" si="14">(AV4-AU4)/AU4</f>
        <v>-0.14112534005113295</v>
      </c>
    </row>
    <row r="5" spans="1:49" x14ac:dyDescent="0.3">
      <c r="A5" s="9" t="s">
        <v>20</v>
      </c>
      <c r="B5" s="11">
        <v>6555866.666666667</v>
      </c>
      <c r="C5" s="11">
        <v>5419400</v>
      </c>
      <c r="D5" s="12">
        <f t="shared" si="0"/>
        <v>-0.17335109520226163</v>
      </c>
      <c r="E5" s="11">
        <v>756305.5555555555</v>
      </c>
      <c r="F5" s="11">
        <v>0</v>
      </c>
      <c r="G5" s="12">
        <f t="shared" si="1"/>
        <v>-1</v>
      </c>
      <c r="H5" s="11">
        <v>3152033.3333333335</v>
      </c>
      <c r="I5" s="11">
        <v>5709200</v>
      </c>
      <c r="J5" s="12">
        <f>(I5-H5)/H5</f>
        <v>0.81127526147143103</v>
      </c>
      <c r="K5" s="11">
        <v>27231651.444444444</v>
      </c>
      <c r="L5" s="11">
        <v>5973900</v>
      </c>
      <c r="M5" s="14">
        <f t="shared" si="2"/>
        <v>-0.78062659871409523</v>
      </c>
      <c r="N5" s="11">
        <v>25075743.555555556</v>
      </c>
      <c r="O5" s="11">
        <v>10484300</v>
      </c>
      <c r="P5" s="13">
        <f t="shared" si="3"/>
        <v>-0.58189475112584677</v>
      </c>
      <c r="Q5" s="11">
        <v>1686555.5555555555</v>
      </c>
      <c r="R5" s="11">
        <v>682600</v>
      </c>
      <c r="S5" s="13">
        <f t="shared" si="4"/>
        <v>-0.59526978061795899</v>
      </c>
      <c r="T5" s="19">
        <v>18182216.666666668</v>
      </c>
      <c r="U5" s="19">
        <v>3981900</v>
      </c>
      <c r="V5" s="13">
        <f t="shared" si="5"/>
        <v>-0.78100029974343066</v>
      </c>
      <c r="W5" s="11">
        <v>9570022</v>
      </c>
      <c r="X5" s="11">
        <v>794450</v>
      </c>
      <c r="Y5" s="14">
        <f t="shared" si="6"/>
        <v>-0.91698556178867718</v>
      </c>
      <c r="Z5" s="11">
        <v>4279327.777777778</v>
      </c>
      <c r="AA5" s="11">
        <v>1240500</v>
      </c>
      <c r="AB5" s="16">
        <f t="shared" si="7"/>
        <v>-0.71011802217118736</v>
      </c>
      <c r="AC5" s="11">
        <v>18231015</v>
      </c>
      <c r="AD5" s="11">
        <v>18621775</v>
      </c>
      <c r="AE5" s="17">
        <f t="shared" si="8"/>
        <v>2.143380387762283E-2</v>
      </c>
      <c r="AF5" s="11">
        <v>512222.22222222225</v>
      </c>
      <c r="AG5" s="11">
        <v>0</v>
      </c>
      <c r="AH5" s="16">
        <f t="shared" si="9"/>
        <v>-1</v>
      </c>
      <c r="AI5" s="11">
        <v>4579966.666666667</v>
      </c>
      <c r="AJ5" s="11">
        <v>1703896</v>
      </c>
      <c r="AK5" s="16">
        <f t="shared" si="10"/>
        <v>-0.62796759801745283</v>
      </c>
      <c r="AL5" s="11">
        <v>5841842.666666667</v>
      </c>
      <c r="AM5" s="11">
        <v>11229700</v>
      </c>
      <c r="AN5" s="16">
        <f t="shared" si="11"/>
        <v>0.92228730569486972</v>
      </c>
      <c r="AO5" s="11">
        <v>4920255.555555556</v>
      </c>
      <c r="AP5" s="11">
        <v>3470900</v>
      </c>
      <c r="AQ5" s="16">
        <f t="shared" si="12"/>
        <v>-0.29456916194506616</v>
      </c>
      <c r="AR5" s="10">
        <v>0</v>
      </c>
      <c r="AS5" s="10">
        <v>0</v>
      </c>
      <c r="AT5" s="16" t="e">
        <f t="shared" si="13"/>
        <v>#DIV/0!</v>
      </c>
      <c r="AU5" s="18">
        <v>130575024.66666667</v>
      </c>
      <c r="AV5" s="18">
        <v>69312521</v>
      </c>
      <c r="AW5" s="13">
        <f t="shared" si="14"/>
        <v>-0.46917474320267794</v>
      </c>
    </row>
    <row r="6" spans="1:49" x14ac:dyDescent="0.3">
      <c r="A6" s="9" t="s">
        <v>21</v>
      </c>
      <c r="B6" s="11">
        <v>9589160</v>
      </c>
      <c r="C6" s="11">
        <v>15302950</v>
      </c>
      <c r="D6" s="12">
        <f t="shared" si="0"/>
        <v>0.595859282773465</v>
      </c>
      <c r="E6" s="11">
        <v>6899020.6222222224</v>
      </c>
      <c r="F6" s="11">
        <v>13851700</v>
      </c>
      <c r="G6" s="12">
        <f t="shared" si="1"/>
        <v>1.007777735202402</v>
      </c>
      <c r="H6" s="11">
        <v>11683216.711111112</v>
      </c>
      <c r="I6" s="11">
        <v>16225460</v>
      </c>
      <c r="J6" s="12">
        <f>(I6-H6)/H6</f>
        <v>0.38878362023098229</v>
      </c>
      <c r="K6" s="11">
        <v>23869237.333333332</v>
      </c>
      <c r="L6" s="11">
        <v>5182660</v>
      </c>
      <c r="M6" s="14">
        <f t="shared" si="2"/>
        <v>-0.78287282799930824</v>
      </c>
      <c r="N6" s="11">
        <v>34300317.777777776</v>
      </c>
      <c r="O6" s="11">
        <v>29725990</v>
      </c>
      <c r="P6" s="13">
        <f t="shared" si="3"/>
        <v>-0.13336109033780894</v>
      </c>
      <c r="Q6" s="11">
        <v>12420324.444444444</v>
      </c>
      <c r="R6" s="11">
        <v>2895300</v>
      </c>
      <c r="S6" s="13">
        <f t="shared" si="4"/>
        <v>-0.76689014743934047</v>
      </c>
      <c r="T6" s="11">
        <v>15837430</v>
      </c>
      <c r="U6" s="11">
        <v>4745000</v>
      </c>
      <c r="V6" s="13">
        <f t="shared" si="5"/>
        <v>-0.70039330876284855</v>
      </c>
      <c r="W6" s="11">
        <v>14751556.630000001</v>
      </c>
      <c r="X6" s="11">
        <v>4242190</v>
      </c>
      <c r="Y6" s="14">
        <f t="shared" si="6"/>
        <v>-0.71242424739279875</v>
      </c>
      <c r="Z6" s="11">
        <v>9827899.762222223</v>
      </c>
      <c r="AA6" s="11">
        <v>8035550</v>
      </c>
      <c r="AB6" s="16">
        <f t="shared" si="7"/>
        <v>-0.18237363074376209</v>
      </c>
      <c r="AC6" s="11">
        <v>14685894.444444444</v>
      </c>
      <c r="AD6" s="11">
        <v>29019200.5</v>
      </c>
      <c r="AE6" s="17">
        <f t="shared" si="8"/>
        <v>0.97599135754225241</v>
      </c>
      <c r="AF6" s="11">
        <v>619655.5555555555</v>
      </c>
      <c r="AG6" s="11">
        <v>113700</v>
      </c>
      <c r="AH6" s="16">
        <f t="shared" si="9"/>
        <v>-0.81651096487295804</v>
      </c>
      <c r="AI6" s="11">
        <v>13667889.444444444</v>
      </c>
      <c r="AJ6" s="11">
        <v>3360100</v>
      </c>
      <c r="AK6" s="16">
        <f t="shared" si="10"/>
        <v>-0.75416101998353724</v>
      </c>
      <c r="AL6" s="11">
        <v>11923698.611111112</v>
      </c>
      <c r="AM6" s="11">
        <v>6630660</v>
      </c>
      <c r="AN6" s="16">
        <f t="shared" si="11"/>
        <v>-0.44390912448749653</v>
      </c>
      <c r="AO6" s="11">
        <v>14423066.666666666</v>
      </c>
      <c r="AP6" s="11">
        <v>6398150</v>
      </c>
      <c r="AQ6" s="16">
        <f t="shared" si="12"/>
        <v>-0.55639461788061717</v>
      </c>
      <c r="AR6" s="10">
        <v>0</v>
      </c>
      <c r="AS6" s="10">
        <v>0</v>
      </c>
      <c r="AT6" s="16" t="e">
        <f t="shared" si="13"/>
        <v>#DIV/0!</v>
      </c>
      <c r="AU6" s="18">
        <v>194498368.00333333</v>
      </c>
      <c r="AV6" s="18">
        <v>145728610.5</v>
      </c>
      <c r="AW6" s="13">
        <f t="shared" si="14"/>
        <v>-0.25074635846043453</v>
      </c>
    </row>
    <row r="7" spans="1:49" x14ac:dyDescent="0.3">
      <c r="A7" s="9" t="s">
        <v>22</v>
      </c>
      <c r="B7" s="11">
        <v>29080773.888888888</v>
      </c>
      <c r="C7" s="11">
        <v>37132030</v>
      </c>
      <c r="D7" s="12">
        <f t="shared" si="0"/>
        <v>0.27685838560807063</v>
      </c>
      <c r="E7" s="11">
        <v>21535546.444444444</v>
      </c>
      <c r="F7" s="11">
        <v>15801255</v>
      </c>
      <c r="G7" s="12">
        <f t="shared" si="1"/>
        <v>-0.26627099800960602</v>
      </c>
      <c r="H7" s="11">
        <v>33872789</v>
      </c>
      <c r="I7" s="11">
        <v>32543835</v>
      </c>
      <c r="J7" s="12">
        <f>(I7-H7)/H7</f>
        <v>-3.9233675148509325E-2</v>
      </c>
      <c r="K7" s="11">
        <v>19034325.777777776</v>
      </c>
      <c r="L7" s="11">
        <v>21141670</v>
      </c>
      <c r="M7" s="14">
        <f t="shared" si="2"/>
        <v>0.1107128377871156</v>
      </c>
      <c r="N7" s="11">
        <v>19032778.666666668</v>
      </c>
      <c r="O7" s="11">
        <v>18499135</v>
      </c>
      <c r="P7" s="13">
        <f t="shared" si="3"/>
        <v>-2.803813757374652E-2</v>
      </c>
      <c r="Q7" s="11">
        <v>18074830</v>
      </c>
      <c r="R7" s="11">
        <v>11846160</v>
      </c>
      <c r="S7" s="13">
        <f t="shared" si="4"/>
        <v>-0.34460462422053206</v>
      </c>
      <c r="T7" s="11">
        <v>11318902.111111112</v>
      </c>
      <c r="U7" s="11">
        <v>10037338</v>
      </c>
      <c r="V7" s="13">
        <f t="shared" si="5"/>
        <v>-0.11322335846098311</v>
      </c>
      <c r="W7" s="11">
        <v>25914936.833333332</v>
      </c>
      <c r="X7" s="11">
        <v>5812340</v>
      </c>
      <c r="Y7" s="14">
        <f t="shared" si="6"/>
        <v>-0.77571467615835266</v>
      </c>
      <c r="Z7" s="11">
        <v>10598175.333333334</v>
      </c>
      <c r="AA7" s="11">
        <v>11388970</v>
      </c>
      <c r="AB7" s="16">
        <f t="shared" si="7"/>
        <v>7.4616114736228437E-2</v>
      </c>
      <c r="AC7" s="11">
        <v>9993617.222222222</v>
      </c>
      <c r="AD7" s="11">
        <v>16117850</v>
      </c>
      <c r="AE7" s="17">
        <f t="shared" si="8"/>
        <v>0.61281442360626737</v>
      </c>
      <c r="AF7" s="11">
        <v>2213696.6666666665</v>
      </c>
      <c r="AG7" s="11">
        <v>2932550</v>
      </c>
      <c r="AH7" s="16">
        <f t="shared" si="9"/>
        <v>0.32472982597736222</v>
      </c>
      <c r="AI7" s="11">
        <v>5914168.222222222</v>
      </c>
      <c r="AJ7" s="11">
        <v>65093980</v>
      </c>
      <c r="AK7" s="16">
        <f t="shared" si="10"/>
        <v>10.006447154379593</v>
      </c>
      <c r="AL7" s="11">
        <v>4841641.666666667</v>
      </c>
      <c r="AM7" s="11">
        <v>4150865</v>
      </c>
      <c r="AN7" s="16">
        <f t="shared" si="11"/>
        <v>-0.14267405855796164</v>
      </c>
      <c r="AO7" s="11">
        <v>8189722.0666666664</v>
      </c>
      <c r="AP7" s="11">
        <v>6300935</v>
      </c>
      <c r="AQ7" s="16">
        <f t="shared" si="12"/>
        <v>-0.23062895801486333</v>
      </c>
      <c r="AR7" s="10">
        <v>0</v>
      </c>
      <c r="AS7" s="10">
        <v>0</v>
      </c>
      <c r="AT7" s="16" t="e">
        <f t="shared" si="13"/>
        <v>#DIV/0!</v>
      </c>
      <c r="AU7" s="18">
        <v>219615903.89999998</v>
      </c>
      <c r="AV7" s="18">
        <v>258798913</v>
      </c>
      <c r="AW7" s="13">
        <f t="shared" si="14"/>
        <v>0.17841608191473071</v>
      </c>
    </row>
    <row r="8" spans="1:49" x14ac:dyDescent="0.3">
      <c r="A8" s="9" t="s">
        <v>23</v>
      </c>
      <c r="B8" s="11">
        <v>13711661</v>
      </c>
      <c r="C8" s="11">
        <v>6190800</v>
      </c>
      <c r="D8" s="12">
        <f t="shared" si="0"/>
        <v>-0.54850108969292632</v>
      </c>
      <c r="E8" s="11">
        <v>12650937.888888888</v>
      </c>
      <c r="F8" s="11">
        <v>7898290</v>
      </c>
      <c r="G8" s="12">
        <f t="shared" si="1"/>
        <v>-0.37567553731040454</v>
      </c>
      <c r="H8" s="11">
        <v>12472170</v>
      </c>
      <c r="I8" s="11">
        <v>16574100</v>
      </c>
      <c r="J8" s="12">
        <f>(I8-H8)/H8</f>
        <v>0.32888663320015682</v>
      </c>
      <c r="K8" s="11">
        <v>11868460.555555556</v>
      </c>
      <c r="L8" s="11">
        <v>8265360</v>
      </c>
      <c r="M8" s="14">
        <f t="shared" si="2"/>
        <v>-0.30358617604108445</v>
      </c>
      <c r="N8" s="11">
        <v>16887828.888888888</v>
      </c>
      <c r="O8" s="11">
        <v>17129300</v>
      </c>
      <c r="P8" s="13">
        <f t="shared" si="3"/>
        <v>1.4298528999780694E-2</v>
      </c>
      <c r="Q8" s="11">
        <v>9009094.444444444</v>
      </c>
      <c r="R8" s="11">
        <v>4812650</v>
      </c>
      <c r="S8" s="13">
        <f t="shared" si="4"/>
        <v>-0.46580091598798001</v>
      </c>
      <c r="T8" s="11">
        <v>9355430.555555556</v>
      </c>
      <c r="U8" s="11">
        <v>7419200</v>
      </c>
      <c r="V8" s="13">
        <f t="shared" si="5"/>
        <v>-0.20696327593450628</v>
      </c>
      <c r="W8" s="11">
        <v>14223541.111111112</v>
      </c>
      <c r="X8" s="11">
        <v>9746970</v>
      </c>
      <c r="Y8" s="14">
        <f t="shared" si="6"/>
        <v>-0.3147297199861232</v>
      </c>
      <c r="Z8" s="11">
        <v>8972559.222222222</v>
      </c>
      <c r="AA8" s="11">
        <v>4607050</v>
      </c>
      <c r="AB8" s="16">
        <f t="shared" si="7"/>
        <v>-0.48654002878133379</v>
      </c>
      <c r="AC8" s="11">
        <v>5623983.888888889</v>
      </c>
      <c r="AD8" s="11">
        <v>10717820</v>
      </c>
      <c r="AE8" s="17">
        <f t="shared" si="8"/>
        <v>0.9057344778627171</v>
      </c>
      <c r="AF8" s="11">
        <v>2185030</v>
      </c>
      <c r="AG8" s="11">
        <v>2165950</v>
      </c>
      <c r="AH8" s="16">
        <f t="shared" si="9"/>
        <v>-8.73214555406562E-3</v>
      </c>
      <c r="AI8" s="11">
        <v>5380855.888888889</v>
      </c>
      <c r="AJ8" s="11">
        <v>22389859</v>
      </c>
      <c r="AK8" s="16">
        <f t="shared" si="10"/>
        <v>3.1610218638699425</v>
      </c>
      <c r="AL8" s="11">
        <v>6600543.888888889</v>
      </c>
      <c r="AM8" s="11">
        <v>7490600</v>
      </c>
      <c r="AN8" s="16">
        <f t="shared" si="11"/>
        <v>0.13484587423309138</v>
      </c>
      <c r="AO8" s="11">
        <v>2387375.5555555555</v>
      </c>
      <c r="AP8" s="11">
        <v>8867750</v>
      </c>
      <c r="AQ8" s="16">
        <f t="shared" si="12"/>
        <v>2.7144344463795202</v>
      </c>
      <c r="AR8" s="10">
        <v>0</v>
      </c>
      <c r="AS8" s="10">
        <v>0</v>
      </c>
      <c r="AT8" s="16" t="e">
        <f t="shared" si="13"/>
        <v>#DIV/0!</v>
      </c>
      <c r="AU8" s="18">
        <v>131329472.8888889</v>
      </c>
      <c r="AV8" s="18">
        <v>134275699</v>
      </c>
      <c r="AW8" s="13">
        <f t="shared" si="14"/>
        <v>2.2433853165646639E-2</v>
      </c>
    </row>
    <row r="9" spans="1:49" x14ac:dyDescent="0.3">
      <c r="A9" s="9" t="s">
        <v>24</v>
      </c>
      <c r="B9" s="11">
        <v>12799886.333333334</v>
      </c>
      <c r="C9" s="11">
        <v>12494315</v>
      </c>
      <c r="D9" s="12">
        <f t="shared" si="0"/>
        <v>-2.3872972413635282E-2</v>
      </c>
      <c r="E9" s="11">
        <v>12975691.111111112</v>
      </c>
      <c r="F9" s="11">
        <v>9945670</v>
      </c>
      <c r="G9" s="12">
        <f t="shared" si="1"/>
        <v>-0.23351520047487093</v>
      </c>
      <c r="H9" s="11">
        <v>16858076.555555556</v>
      </c>
      <c r="I9" s="11">
        <v>14691755</v>
      </c>
      <c r="J9" s="12">
        <f>(I9-H9)/H9</f>
        <v>-0.12850348308814907</v>
      </c>
      <c r="K9" s="11">
        <v>16618703.888888888</v>
      </c>
      <c r="L9" s="11">
        <v>10880200</v>
      </c>
      <c r="M9" s="14">
        <f t="shared" si="2"/>
        <v>-0.34530393749452382</v>
      </c>
      <c r="N9" s="11">
        <v>23127846.111111112</v>
      </c>
      <c r="O9" s="11">
        <v>18507735</v>
      </c>
      <c r="P9" s="13">
        <f t="shared" si="3"/>
        <v>-0.19976400261896898</v>
      </c>
      <c r="Q9" s="11">
        <v>7943347.222222222</v>
      </c>
      <c r="R9" s="11">
        <v>5432995</v>
      </c>
      <c r="S9" s="13">
        <f t="shared" si="4"/>
        <v>-0.31603203939005559</v>
      </c>
      <c r="T9" s="11">
        <v>16962964.333333332</v>
      </c>
      <c r="U9" s="11">
        <v>14324635</v>
      </c>
      <c r="V9" s="13">
        <f t="shared" si="5"/>
        <v>-0.15553468612492705</v>
      </c>
      <c r="W9" s="11">
        <v>9647391.666666666</v>
      </c>
      <c r="X9" s="11">
        <v>3155660</v>
      </c>
      <c r="Y9" s="14">
        <f t="shared" si="6"/>
        <v>-0.67290018804737373</v>
      </c>
      <c r="Z9" s="11">
        <v>7145024.444444444</v>
      </c>
      <c r="AA9" s="11">
        <v>4194590</v>
      </c>
      <c r="AB9" s="16">
        <f t="shared" si="7"/>
        <v>-0.41293552840655856</v>
      </c>
      <c r="AC9" s="11">
        <v>10670998.333333334</v>
      </c>
      <c r="AD9" s="11">
        <v>6992885</v>
      </c>
      <c r="AE9" s="17">
        <f t="shared" si="8"/>
        <v>-0.34468315132651606</v>
      </c>
      <c r="AF9" s="11">
        <v>1193120</v>
      </c>
      <c r="AG9" s="11">
        <v>2908815</v>
      </c>
      <c r="AH9" s="16">
        <f t="shared" si="9"/>
        <v>1.4379903111170713</v>
      </c>
      <c r="AI9" s="11">
        <v>10756562.222222222</v>
      </c>
      <c r="AJ9" s="11">
        <v>6264380</v>
      </c>
      <c r="AK9" s="16">
        <f t="shared" si="10"/>
        <v>-0.41762248285439396</v>
      </c>
      <c r="AL9" s="11">
        <v>8568815.555555556</v>
      </c>
      <c r="AM9" s="11">
        <v>2776330</v>
      </c>
      <c r="AN9" s="16">
        <f t="shared" si="11"/>
        <v>-0.67599606013225733</v>
      </c>
      <c r="AO9" s="11">
        <v>2139432.222222222</v>
      </c>
      <c r="AP9" s="11">
        <v>1394300</v>
      </c>
      <c r="AQ9" s="16">
        <f t="shared" si="12"/>
        <v>-0.34828503304874753</v>
      </c>
      <c r="AR9" s="10">
        <v>0</v>
      </c>
      <c r="AS9" s="10">
        <v>0</v>
      </c>
      <c r="AT9" s="16" t="e">
        <f t="shared" si="13"/>
        <v>#DIV/0!</v>
      </c>
      <c r="AU9" s="18">
        <v>157407860</v>
      </c>
      <c r="AV9" s="18">
        <v>113964265</v>
      </c>
      <c r="AW9" s="13">
        <f t="shared" si="14"/>
        <v>-0.27599380996603345</v>
      </c>
    </row>
    <row r="10" spans="1:49" x14ac:dyDescent="0.3">
      <c r="A10" s="9" t="s">
        <v>25</v>
      </c>
      <c r="B10" s="11">
        <v>43661268.286666662</v>
      </c>
      <c r="C10" s="11">
        <v>28838190</v>
      </c>
      <c r="D10" s="12">
        <f t="shared" si="0"/>
        <v>-0.33950177968589507</v>
      </c>
      <c r="E10" s="11">
        <v>27834517.888888888</v>
      </c>
      <c r="F10" s="11">
        <v>23997010</v>
      </c>
      <c r="G10" s="12">
        <f t="shared" si="1"/>
        <v>-0.13786866739376011</v>
      </c>
      <c r="H10" s="11">
        <v>85462940.333333328</v>
      </c>
      <c r="I10" s="11">
        <v>59100969</v>
      </c>
      <c r="J10" s="12">
        <f>(I10-H10)/H10</f>
        <v>-0.30846085134109646</v>
      </c>
      <c r="K10" s="11">
        <v>37208998.277777776</v>
      </c>
      <c r="L10" s="11">
        <v>19659710</v>
      </c>
      <c r="M10" s="14">
        <f t="shared" si="2"/>
        <v>-0.47164097637798241</v>
      </c>
      <c r="N10" s="11">
        <v>69313093.555555552</v>
      </c>
      <c r="O10" s="11">
        <v>61560610</v>
      </c>
      <c r="P10" s="13">
        <f t="shared" si="3"/>
        <v>-0.11184731712114122</v>
      </c>
      <c r="Q10" s="11">
        <v>31474374.222222224</v>
      </c>
      <c r="R10" s="11">
        <v>20308986.5</v>
      </c>
      <c r="S10" s="13">
        <f t="shared" si="4"/>
        <v>-0.35474534436776806</v>
      </c>
      <c r="T10" s="11">
        <v>26355473.888888888</v>
      </c>
      <c r="U10" s="11">
        <v>30039600</v>
      </c>
      <c r="V10" s="13">
        <f t="shared" si="5"/>
        <v>0.13978599385626261</v>
      </c>
      <c r="W10" s="11">
        <v>46748725.833333336</v>
      </c>
      <c r="X10" s="11">
        <v>27860100</v>
      </c>
      <c r="Y10" s="14">
        <f t="shared" si="6"/>
        <v>-0.40404578941197883</v>
      </c>
      <c r="Z10" s="11">
        <v>30988293.227777779</v>
      </c>
      <c r="AA10" s="11">
        <v>31019770</v>
      </c>
      <c r="AB10" s="16">
        <f t="shared" si="7"/>
        <v>1.0157633397506788E-3</v>
      </c>
      <c r="AC10" s="11">
        <v>29266281.775555555</v>
      </c>
      <c r="AD10" s="11">
        <v>23579768</v>
      </c>
      <c r="AE10" s="17">
        <f t="shared" si="8"/>
        <v>-0.19430257041757773</v>
      </c>
      <c r="AF10" s="11">
        <v>3364880</v>
      </c>
      <c r="AG10" s="11">
        <v>51000</v>
      </c>
      <c r="AH10" s="16">
        <f t="shared" si="9"/>
        <v>-0.98484344166805349</v>
      </c>
      <c r="AI10" s="11">
        <v>16542355.222222222</v>
      </c>
      <c r="AJ10" s="11">
        <v>25939100</v>
      </c>
      <c r="AK10" s="16">
        <f t="shared" si="10"/>
        <v>0.56804153045599171</v>
      </c>
      <c r="AL10" s="11">
        <v>32504128.555555556</v>
      </c>
      <c r="AM10" s="11">
        <v>23743490</v>
      </c>
      <c r="AN10" s="16">
        <f t="shared" si="11"/>
        <v>-0.26952387111631088</v>
      </c>
      <c r="AO10" s="11">
        <v>8854327.555555556</v>
      </c>
      <c r="AP10" s="11">
        <v>41698490</v>
      </c>
      <c r="AQ10" s="16">
        <f t="shared" si="12"/>
        <v>3.7093909433965671</v>
      </c>
      <c r="AR10" s="10">
        <v>0</v>
      </c>
      <c r="AS10" s="10">
        <v>0</v>
      </c>
      <c r="AT10" s="16" t="e">
        <f t="shared" si="13"/>
        <v>#DIV/0!</v>
      </c>
      <c r="AU10" s="18">
        <v>489579658.62333339</v>
      </c>
      <c r="AV10" s="18">
        <v>417396793.5</v>
      </c>
      <c r="AW10" s="13">
        <f t="shared" si="14"/>
        <v>-0.14743844817063476</v>
      </c>
    </row>
    <row r="11" spans="1:49" x14ac:dyDescent="0.3">
      <c r="A11" s="9" t="s">
        <v>26</v>
      </c>
      <c r="B11" s="11">
        <v>8347631.111111111</v>
      </c>
      <c r="C11" s="11">
        <v>3547580</v>
      </c>
      <c r="D11" s="12">
        <f t="shared" si="0"/>
        <v>-0.5750195531187291</v>
      </c>
      <c r="E11" s="11">
        <v>9367476.1111111119</v>
      </c>
      <c r="F11" s="11">
        <v>10353830</v>
      </c>
      <c r="G11" s="12">
        <f t="shared" si="1"/>
        <v>0.10529558625924192</v>
      </c>
      <c r="H11" s="11">
        <v>11741736.111111112</v>
      </c>
      <c r="I11" s="11">
        <v>8072305</v>
      </c>
      <c r="J11" s="12">
        <f>(I11-H11)/H11</f>
        <v>-0.31251180203571072</v>
      </c>
      <c r="K11" s="11">
        <v>10440215.555555556</v>
      </c>
      <c r="L11" s="11">
        <v>13328985</v>
      </c>
      <c r="M11" s="14">
        <f t="shared" si="2"/>
        <v>0.27669634109299995</v>
      </c>
      <c r="N11" s="11">
        <v>20502139.444444444</v>
      </c>
      <c r="O11" s="11">
        <v>31273825</v>
      </c>
      <c r="P11" s="13">
        <f t="shared" si="3"/>
        <v>0.52539324419015243</v>
      </c>
      <c r="Q11" s="11">
        <v>5710903.333333333</v>
      </c>
      <c r="R11" s="11">
        <v>4286345</v>
      </c>
      <c r="S11" s="13">
        <f t="shared" si="4"/>
        <v>-0.24944535919886576</v>
      </c>
      <c r="T11" s="11">
        <v>6905170.555555556</v>
      </c>
      <c r="U11" s="11">
        <v>21718080</v>
      </c>
      <c r="V11" s="13">
        <f t="shared" si="5"/>
        <v>2.1451909587557858</v>
      </c>
      <c r="W11" s="11">
        <v>7660135.555555556</v>
      </c>
      <c r="X11" s="11">
        <v>7245675</v>
      </c>
      <c r="Y11" s="14">
        <f t="shared" si="6"/>
        <v>-5.4106164642865377E-2</v>
      </c>
      <c r="Z11" s="11">
        <v>5815266.666666667</v>
      </c>
      <c r="AA11" s="11">
        <v>5467055</v>
      </c>
      <c r="AB11" s="16">
        <f t="shared" si="7"/>
        <v>-5.9878882023180417E-2</v>
      </c>
      <c r="AC11" s="11">
        <v>9338188.8888888881</v>
      </c>
      <c r="AD11" s="11">
        <v>7292885</v>
      </c>
      <c r="AE11" s="17">
        <f t="shared" si="8"/>
        <v>-0.21902575683840661</v>
      </c>
      <c r="AF11" s="11">
        <v>569101.11111111112</v>
      </c>
      <c r="AG11" s="11">
        <v>483080</v>
      </c>
      <c r="AH11" s="16">
        <f t="shared" si="9"/>
        <v>-0.15115259737090267</v>
      </c>
      <c r="AI11" s="11">
        <v>4716445</v>
      </c>
      <c r="AJ11" s="11">
        <v>4461055</v>
      </c>
      <c r="AK11" s="16">
        <f t="shared" si="10"/>
        <v>-5.4148834556535692E-2</v>
      </c>
      <c r="AL11" s="11">
        <v>2252178.3333333335</v>
      </c>
      <c r="AM11" s="11">
        <v>2846130</v>
      </c>
      <c r="AN11" s="16">
        <f t="shared" si="11"/>
        <v>0.26372319539527278</v>
      </c>
      <c r="AO11" s="11">
        <v>1887836.5555555555</v>
      </c>
      <c r="AP11" s="11">
        <v>5372065</v>
      </c>
      <c r="AQ11" s="16">
        <f t="shared" si="12"/>
        <v>1.8456197567480095</v>
      </c>
      <c r="AR11" s="10">
        <v>22366.666666666668</v>
      </c>
      <c r="AS11" s="10">
        <v>0</v>
      </c>
      <c r="AT11" s="16">
        <f t="shared" si="13"/>
        <v>-1</v>
      </c>
      <c r="AU11" s="18">
        <v>105276791</v>
      </c>
      <c r="AV11" s="18">
        <v>125748895</v>
      </c>
      <c r="AW11" s="13">
        <f t="shared" si="14"/>
        <v>0.19445980263589152</v>
      </c>
    </row>
    <row r="12" spans="1:49" x14ac:dyDescent="0.3">
      <c r="A12" s="9" t="s">
        <v>27</v>
      </c>
      <c r="B12" s="11">
        <v>35269579.888888888</v>
      </c>
      <c r="C12" s="11">
        <v>17134031</v>
      </c>
      <c r="D12" s="12">
        <f t="shared" si="0"/>
        <v>-0.51419804108872302</v>
      </c>
      <c r="E12" s="11">
        <v>11725891.111111112</v>
      </c>
      <c r="F12" s="11">
        <v>15699665</v>
      </c>
      <c r="G12" s="12">
        <f t="shared" si="1"/>
        <v>0.3388888615146235</v>
      </c>
      <c r="H12" s="11">
        <v>29503926.333333332</v>
      </c>
      <c r="I12" s="11">
        <v>32266061</v>
      </c>
      <c r="J12" s="12">
        <f>(I12-H12)/H12</f>
        <v>9.3619223267447871E-2</v>
      </c>
      <c r="K12" s="11">
        <v>35044261.788888894</v>
      </c>
      <c r="L12" s="11">
        <v>21255213</v>
      </c>
      <c r="M12" s="14">
        <f t="shared" si="2"/>
        <v>-0.39347522490146558</v>
      </c>
      <c r="N12" s="11">
        <v>25397658.888888888</v>
      </c>
      <c r="O12" s="11">
        <v>22654045</v>
      </c>
      <c r="P12" s="13">
        <f t="shared" si="3"/>
        <v>-0.10802625158845565</v>
      </c>
      <c r="Q12" s="11">
        <v>11365514.555555556</v>
      </c>
      <c r="R12" s="11">
        <v>16712916</v>
      </c>
      <c r="S12" s="13">
        <f t="shared" si="4"/>
        <v>0.47049356351671651</v>
      </c>
      <c r="T12" s="11">
        <v>24515532.444444444</v>
      </c>
      <c r="U12" s="11">
        <v>20061446</v>
      </c>
      <c r="V12" s="13">
        <f t="shared" si="5"/>
        <v>-0.18168426300909493</v>
      </c>
      <c r="W12" s="11">
        <v>8877628.333333334</v>
      </c>
      <c r="X12" s="11">
        <v>29583513</v>
      </c>
      <c r="Y12" s="14">
        <f t="shared" si="6"/>
        <v>2.3323666962854377</v>
      </c>
      <c r="Z12" s="11">
        <v>14926521.222222222</v>
      </c>
      <c r="AA12" s="11">
        <v>15104045</v>
      </c>
      <c r="AB12" s="16">
        <f t="shared" si="7"/>
        <v>1.189317826537406E-2</v>
      </c>
      <c r="AC12" s="11">
        <v>14670240.888888888</v>
      </c>
      <c r="AD12" s="11">
        <v>26732205</v>
      </c>
      <c r="AE12" s="17">
        <f t="shared" si="8"/>
        <v>0.82220627476176877</v>
      </c>
      <c r="AF12" s="11">
        <v>7597662.8000000007</v>
      </c>
      <c r="AG12" s="11">
        <v>7842128</v>
      </c>
      <c r="AH12" s="16">
        <f t="shared" si="9"/>
        <v>3.2176368764352009E-2</v>
      </c>
      <c r="AI12" s="11">
        <v>25365054.077777777</v>
      </c>
      <c r="AJ12" s="11">
        <v>16486478</v>
      </c>
      <c r="AK12" s="16">
        <f t="shared" si="10"/>
        <v>-0.35003182136151101</v>
      </c>
      <c r="AL12" s="11">
        <v>15649174</v>
      </c>
      <c r="AM12" s="11">
        <v>9790324</v>
      </c>
      <c r="AN12" s="16">
        <f t="shared" si="11"/>
        <v>-0.3743871721280625</v>
      </c>
      <c r="AO12" s="11">
        <v>3219827.888888889</v>
      </c>
      <c r="AP12" s="11">
        <v>11640925</v>
      </c>
      <c r="AQ12" s="16">
        <f t="shared" si="12"/>
        <v>2.6153873442027664</v>
      </c>
      <c r="AR12" s="10">
        <v>4333.333333333333</v>
      </c>
      <c r="AS12" s="10">
        <v>0</v>
      </c>
      <c r="AT12" s="16">
        <f t="shared" si="13"/>
        <v>-1</v>
      </c>
      <c r="AU12" s="18">
        <v>263132807.55555555</v>
      </c>
      <c r="AV12" s="18">
        <v>262962995</v>
      </c>
      <c r="AW12" s="13">
        <f t="shared" si="14"/>
        <v>-6.4534923308527203E-4</v>
      </c>
    </row>
    <row r="13" spans="1:49" x14ac:dyDescent="0.3">
      <c r="A13" s="9" t="s">
        <v>28</v>
      </c>
      <c r="B13" s="11">
        <v>44539033.555555552</v>
      </c>
      <c r="C13" s="11">
        <v>48061000</v>
      </c>
      <c r="D13" s="12">
        <f t="shared" si="0"/>
        <v>7.907595121145454E-2</v>
      </c>
      <c r="E13" s="11">
        <v>16175255.555555556</v>
      </c>
      <c r="F13" s="11">
        <v>25369000</v>
      </c>
      <c r="G13" s="12">
        <f t="shared" si="1"/>
        <v>0.56838325755457753</v>
      </c>
      <c r="H13" s="11">
        <v>70762529.333333328</v>
      </c>
      <c r="I13" s="11">
        <v>79148303</v>
      </c>
      <c r="J13" s="12">
        <f>(I13-H13)/H13</f>
        <v>0.11850584971552842</v>
      </c>
      <c r="K13" s="11">
        <v>32347852.28888889</v>
      </c>
      <c r="L13" s="11">
        <v>12418500</v>
      </c>
      <c r="M13" s="14">
        <f t="shared" si="2"/>
        <v>-0.6160950690298036</v>
      </c>
      <c r="N13" s="11">
        <v>33881632.888888888</v>
      </c>
      <c r="O13" s="11">
        <v>54828300</v>
      </c>
      <c r="P13" s="13">
        <f t="shared" si="3"/>
        <v>0.61823074406724776</v>
      </c>
      <c r="Q13" s="11">
        <v>12161011.111111112</v>
      </c>
      <c r="R13" s="11">
        <v>12980000</v>
      </c>
      <c r="S13" s="13">
        <f t="shared" si="4"/>
        <v>6.7345460127127513E-2</v>
      </c>
      <c r="T13" s="11">
        <v>40028150</v>
      </c>
      <c r="U13" s="11">
        <v>45801900</v>
      </c>
      <c r="V13" s="13">
        <f t="shared" si="5"/>
        <v>0.14424223952393503</v>
      </c>
      <c r="W13" s="11">
        <v>18820960</v>
      </c>
      <c r="X13" s="11">
        <v>13132600</v>
      </c>
      <c r="Y13" s="14">
        <f t="shared" si="6"/>
        <v>-0.30223538012938767</v>
      </c>
      <c r="Z13" s="11">
        <v>31812411.666666668</v>
      </c>
      <c r="AA13" s="11">
        <v>39530100</v>
      </c>
      <c r="AB13" s="16">
        <f t="shared" si="7"/>
        <v>0.24259991396439759</v>
      </c>
      <c r="AC13" s="11">
        <v>23179022.222222224</v>
      </c>
      <c r="AD13" s="11">
        <v>23251000</v>
      </c>
      <c r="AE13" s="17">
        <f t="shared" si="8"/>
        <v>3.1052982773695039E-3</v>
      </c>
      <c r="AF13" s="11">
        <v>22208544.444444444</v>
      </c>
      <c r="AG13" s="11">
        <v>21978600</v>
      </c>
      <c r="AH13" s="16">
        <f t="shared" si="9"/>
        <v>-1.0353872808713745E-2</v>
      </c>
      <c r="AI13" s="11">
        <v>18152663.555555556</v>
      </c>
      <c r="AJ13" s="11">
        <v>15306100</v>
      </c>
      <c r="AK13" s="16">
        <f t="shared" si="10"/>
        <v>-0.15681244500807021</v>
      </c>
      <c r="AL13" s="11">
        <v>40599220</v>
      </c>
      <c r="AM13" s="11">
        <v>53963300</v>
      </c>
      <c r="AN13" s="16">
        <f t="shared" si="11"/>
        <v>0.32917085599181461</v>
      </c>
      <c r="AO13" s="11">
        <v>5082577.777777778</v>
      </c>
      <c r="AP13" s="11">
        <v>23786000</v>
      </c>
      <c r="AQ13" s="16">
        <f t="shared" si="12"/>
        <v>3.6799087077423533</v>
      </c>
      <c r="AR13" s="10">
        <v>178555.55555555556</v>
      </c>
      <c r="AS13" s="10">
        <v>0</v>
      </c>
      <c r="AT13" s="16">
        <f t="shared" si="13"/>
        <v>-1</v>
      </c>
      <c r="AU13" s="18">
        <v>409929419.95555556</v>
      </c>
      <c r="AV13" s="18">
        <v>469554703</v>
      </c>
      <c r="AW13" s="13">
        <f t="shared" si="14"/>
        <v>0.14545255876221083</v>
      </c>
    </row>
    <row r="14" spans="1:49" x14ac:dyDescent="0.3">
      <c r="A14" s="20" t="s">
        <v>29</v>
      </c>
      <c r="B14" s="11">
        <v>24164655.746666666</v>
      </c>
      <c r="C14" s="11">
        <v>21814008.02</v>
      </c>
      <c r="D14" s="12">
        <f t="shared" si="0"/>
        <v>-9.7276276199006931E-2</v>
      </c>
      <c r="E14" s="11">
        <v>10277637.208888888</v>
      </c>
      <c r="F14" s="11">
        <v>18649700</v>
      </c>
      <c r="G14" s="12">
        <f t="shared" si="1"/>
        <v>0.8145902235068494</v>
      </c>
      <c r="H14" s="11">
        <v>16641757.396666666</v>
      </c>
      <c r="I14" s="11">
        <v>15952743.279999999</v>
      </c>
      <c r="J14" s="12">
        <f>(I14-H14)/H14</f>
        <v>-4.1402725700392454E-2</v>
      </c>
      <c r="K14" s="11">
        <v>20356530.578888889</v>
      </c>
      <c r="L14" s="11">
        <v>10995135.73</v>
      </c>
      <c r="M14" s="14">
        <f t="shared" si="2"/>
        <v>-0.4598718240620675</v>
      </c>
      <c r="N14" s="11">
        <v>29178011.734444447</v>
      </c>
      <c r="O14" s="11">
        <v>25346023.449999999</v>
      </c>
      <c r="P14" s="13">
        <f t="shared" si="3"/>
        <v>-0.13133137101047948</v>
      </c>
      <c r="Q14" s="11">
        <v>6689651.5344444448</v>
      </c>
      <c r="R14" s="11">
        <v>5056319.7300000004</v>
      </c>
      <c r="S14" s="13">
        <f t="shared" si="4"/>
        <v>-0.24415797983416002</v>
      </c>
      <c r="T14" s="11">
        <v>19015768.006666668</v>
      </c>
      <c r="U14" s="11">
        <v>14469594.970000001</v>
      </c>
      <c r="V14" s="13">
        <f t="shared" si="5"/>
        <v>-0.23907385886664378</v>
      </c>
      <c r="W14" s="11">
        <v>16587480.066666666</v>
      </c>
      <c r="X14" s="11">
        <v>13738725.869999999</v>
      </c>
      <c r="Y14" s="14">
        <f t="shared" si="6"/>
        <v>-0.17174122803567823</v>
      </c>
      <c r="Z14" s="11">
        <v>9544557.6233333331</v>
      </c>
      <c r="AA14" s="11">
        <v>8530999.6699999999</v>
      </c>
      <c r="AB14" s="16">
        <f t="shared" si="7"/>
        <v>-0.10619223994787504</v>
      </c>
      <c r="AC14" s="11">
        <v>18769563.603333335</v>
      </c>
      <c r="AD14" s="11">
        <v>11977595.23</v>
      </c>
      <c r="AE14" s="17">
        <f t="shared" si="8"/>
        <v>-0.36186075056785721</v>
      </c>
      <c r="AF14" s="11">
        <v>2560085.5555555555</v>
      </c>
      <c r="AG14" s="11">
        <v>2955600</v>
      </c>
      <c r="AH14" s="16">
        <f t="shared" si="9"/>
        <v>0.15449266669473288</v>
      </c>
      <c r="AI14" s="11">
        <v>10493643.583333334</v>
      </c>
      <c r="AJ14" s="11">
        <v>4924954.0599999996</v>
      </c>
      <c r="AK14" s="16">
        <f t="shared" si="10"/>
        <v>-0.53067263806995291</v>
      </c>
      <c r="AL14" s="11">
        <v>11091536.310000001</v>
      </c>
      <c r="AM14" s="11">
        <v>6121077.4900000002</v>
      </c>
      <c r="AN14" s="16">
        <f t="shared" si="11"/>
        <v>-0.44813078018044195</v>
      </c>
      <c r="AO14" s="11">
        <v>6253074.1855555559</v>
      </c>
      <c r="AP14" s="11">
        <v>10980270.789999999</v>
      </c>
      <c r="AQ14" s="16">
        <f t="shared" si="12"/>
        <v>0.75597961325393337</v>
      </c>
      <c r="AR14" s="10">
        <v>0</v>
      </c>
      <c r="AS14" s="10">
        <v>0</v>
      </c>
      <c r="AT14" s="16" t="e">
        <f t="shared" si="13"/>
        <v>#DIV/0!</v>
      </c>
      <c r="AU14" s="18">
        <v>201623953.13444442</v>
      </c>
      <c r="AV14" s="18">
        <v>171512748.28999999</v>
      </c>
      <c r="AW14" s="13">
        <f t="shared" si="14"/>
        <v>-0.14934339088355261</v>
      </c>
    </row>
    <row r="15" spans="1:49" x14ac:dyDescent="0.3">
      <c r="A15" s="9" t="s">
        <v>30</v>
      </c>
      <c r="B15" s="11">
        <v>24901746</v>
      </c>
      <c r="C15" s="11">
        <v>25698000</v>
      </c>
      <c r="D15" s="12">
        <f t="shared" si="0"/>
        <v>3.1975830128537976E-2</v>
      </c>
      <c r="E15" s="11">
        <v>14288903.333333334</v>
      </c>
      <c r="F15" s="11">
        <v>15909099</v>
      </c>
      <c r="G15" s="12">
        <f t="shared" si="1"/>
        <v>0.11338838459961116</v>
      </c>
      <c r="H15" s="11">
        <v>43780859.555555552</v>
      </c>
      <c r="I15" s="11">
        <v>58220990</v>
      </c>
      <c r="J15" s="12">
        <f>(I15-H15)/H15</f>
        <v>0.32982747691649816</v>
      </c>
      <c r="K15" s="11">
        <v>18154587.444444444</v>
      </c>
      <c r="L15" s="11">
        <v>16220260</v>
      </c>
      <c r="M15" s="14">
        <f t="shared" si="2"/>
        <v>-0.10654758475585052</v>
      </c>
      <c r="N15" s="11">
        <v>23615719.222222224</v>
      </c>
      <c r="O15" s="11">
        <v>17749300</v>
      </c>
      <c r="P15" s="13">
        <f t="shared" si="3"/>
        <v>-0.24841162646877868</v>
      </c>
      <c r="Q15" s="11">
        <v>13696092.555555556</v>
      </c>
      <c r="R15" s="11">
        <v>9707900</v>
      </c>
      <c r="S15" s="13">
        <f t="shared" si="4"/>
        <v>-0.29119199796425316</v>
      </c>
      <c r="T15" s="11">
        <v>14437123</v>
      </c>
      <c r="U15" s="11">
        <v>18351400</v>
      </c>
      <c r="V15" s="13">
        <f t="shared" si="5"/>
        <v>0.27112583303473969</v>
      </c>
      <c r="W15" s="11">
        <v>14642740.888888888</v>
      </c>
      <c r="X15" s="11">
        <v>18654500</v>
      </c>
      <c r="Y15" s="14">
        <f t="shared" si="6"/>
        <v>0.27397596813007119</v>
      </c>
      <c r="Z15" s="11">
        <v>9187174.666666666</v>
      </c>
      <c r="AA15" s="11">
        <v>12275790</v>
      </c>
      <c r="AB15" s="16">
        <f t="shared" si="7"/>
        <v>0.3361877231462238</v>
      </c>
      <c r="AC15" s="11">
        <v>12194204.444444444</v>
      </c>
      <c r="AD15" s="11">
        <v>10861020</v>
      </c>
      <c r="AE15" s="17">
        <f t="shared" si="8"/>
        <v>-0.10932934989882258</v>
      </c>
      <c r="AF15" s="11">
        <v>13420366.666666666</v>
      </c>
      <c r="AG15" s="11">
        <v>17242600</v>
      </c>
      <c r="AH15" s="16">
        <f t="shared" si="9"/>
        <v>0.28480841308359689</v>
      </c>
      <c r="AI15" s="11">
        <v>8444328.555555556</v>
      </c>
      <c r="AJ15" s="11">
        <v>6282000</v>
      </c>
      <c r="AK15" s="16">
        <f t="shared" si="10"/>
        <v>-0.25606873789070556</v>
      </c>
      <c r="AL15" s="11">
        <v>10168405</v>
      </c>
      <c r="AM15" s="11">
        <v>12795400</v>
      </c>
      <c r="AN15" s="16">
        <f t="shared" si="11"/>
        <v>0.25834877741396023</v>
      </c>
      <c r="AO15" s="11">
        <v>5155731.888888889</v>
      </c>
      <c r="AP15" s="11">
        <v>5439800</v>
      </c>
      <c r="AQ15" s="16">
        <f t="shared" si="12"/>
        <v>5.5097533625304645E-2</v>
      </c>
      <c r="AR15" s="10">
        <v>0</v>
      </c>
      <c r="AS15" s="10">
        <v>0</v>
      </c>
      <c r="AT15" s="16" t="e">
        <f t="shared" si="13"/>
        <v>#DIV/0!</v>
      </c>
      <c r="AU15" s="18">
        <v>226087983.22222221</v>
      </c>
      <c r="AV15" s="18">
        <v>245408059</v>
      </c>
      <c r="AW15" s="13">
        <f t="shared" si="14"/>
        <v>8.5453793264138503E-2</v>
      </c>
    </row>
    <row r="16" spans="1:49" x14ac:dyDescent="0.3">
      <c r="A16" s="20" t="s">
        <v>31</v>
      </c>
      <c r="B16" s="11">
        <v>15233627.777777778</v>
      </c>
      <c r="C16" s="11">
        <v>20462700</v>
      </c>
      <c r="D16" s="12">
        <f t="shared" si="0"/>
        <v>0.34325850010922471</v>
      </c>
      <c r="E16" s="11">
        <v>5999600</v>
      </c>
      <c r="F16" s="11">
        <v>3024100</v>
      </c>
      <c r="G16" s="12">
        <f t="shared" si="1"/>
        <v>-0.49594972998199882</v>
      </c>
      <c r="H16" s="11">
        <v>39384944.444444448</v>
      </c>
      <c r="I16" s="11">
        <v>49423000</v>
      </c>
      <c r="J16" s="12">
        <f>(I16-H16)/H16</f>
        <v>0.25487037488944581</v>
      </c>
      <c r="K16" s="11">
        <v>23314400</v>
      </c>
      <c r="L16" s="11">
        <v>31075400</v>
      </c>
      <c r="M16" s="14">
        <f t="shared" si="2"/>
        <v>0.33288439762550182</v>
      </c>
      <c r="N16" s="11">
        <v>26866977.777777776</v>
      </c>
      <c r="O16" s="11">
        <v>29074400</v>
      </c>
      <c r="P16" s="13">
        <f t="shared" si="3"/>
        <v>8.2161166041088099E-2</v>
      </c>
      <c r="Q16" s="11">
        <v>17455133.333333332</v>
      </c>
      <c r="R16" s="11">
        <v>16695850</v>
      </c>
      <c r="S16" s="13">
        <f t="shared" si="4"/>
        <v>-4.3499142563601087E-2</v>
      </c>
      <c r="T16" s="11">
        <v>23315860</v>
      </c>
      <c r="U16" s="11">
        <v>30979900</v>
      </c>
      <c r="V16" s="13">
        <f t="shared" si="5"/>
        <v>0.32870501023766657</v>
      </c>
      <c r="W16" s="11">
        <v>22736255.555555556</v>
      </c>
      <c r="X16" s="11">
        <v>40640600</v>
      </c>
      <c r="Y16" s="14">
        <f t="shared" si="6"/>
        <v>0.78747990849661065</v>
      </c>
      <c r="Z16" s="11">
        <v>15753922.222222222</v>
      </c>
      <c r="AA16" s="11">
        <v>23139700</v>
      </c>
      <c r="AB16" s="16">
        <f t="shared" si="7"/>
        <v>0.46882152098983465</v>
      </c>
      <c r="AC16" s="11">
        <v>18112278.222222224</v>
      </c>
      <c r="AD16" s="11">
        <v>18260700</v>
      </c>
      <c r="AE16" s="17">
        <f t="shared" si="8"/>
        <v>8.1945394144661062E-3</v>
      </c>
      <c r="AF16" s="11">
        <v>10246448.888888888</v>
      </c>
      <c r="AG16" s="11">
        <v>11373800</v>
      </c>
      <c r="AH16" s="16">
        <f t="shared" si="9"/>
        <v>0.11002359191325264</v>
      </c>
      <c r="AI16" s="11">
        <v>9048133.333333334</v>
      </c>
      <c r="AJ16" s="11">
        <v>8444200</v>
      </c>
      <c r="AK16" s="16">
        <f t="shared" si="10"/>
        <v>-6.674673229100668E-2</v>
      </c>
      <c r="AL16" s="11">
        <v>13703377.777777778</v>
      </c>
      <c r="AM16" s="11">
        <v>22379500</v>
      </c>
      <c r="AN16" s="16">
        <f t="shared" si="11"/>
        <v>0.63313749083761994</v>
      </c>
      <c r="AO16" s="11">
        <v>3900772.222222222</v>
      </c>
      <c r="AP16" s="11">
        <v>2373700</v>
      </c>
      <c r="AQ16" s="16">
        <f t="shared" si="12"/>
        <v>-0.39147946489227914</v>
      </c>
      <c r="AR16" s="10">
        <v>12266.666666666666</v>
      </c>
      <c r="AS16" s="10">
        <v>0</v>
      </c>
      <c r="AT16" s="16">
        <f t="shared" si="13"/>
        <v>-1</v>
      </c>
      <c r="AU16" s="18">
        <v>245083998.22222221</v>
      </c>
      <c r="AV16" s="18">
        <v>307347550</v>
      </c>
      <c r="AW16" s="13">
        <f t="shared" si="14"/>
        <v>0.25404984507116729</v>
      </c>
    </row>
    <row r="17" spans="1:49" x14ac:dyDescent="0.3">
      <c r="A17" s="9" t="s">
        <v>32</v>
      </c>
      <c r="B17" s="11">
        <v>4302950</v>
      </c>
      <c r="C17" s="11">
        <v>3780550</v>
      </c>
      <c r="D17" s="12">
        <f t="shared" si="0"/>
        <v>-0.12140508255963932</v>
      </c>
      <c r="E17" s="11">
        <v>4962288.888888889</v>
      </c>
      <c r="F17" s="11">
        <v>2372400</v>
      </c>
      <c r="G17" s="12">
        <f t="shared" si="1"/>
        <v>-0.52191417043210353</v>
      </c>
      <c r="H17" s="11">
        <v>9119777.777777778</v>
      </c>
      <c r="I17" s="11">
        <v>13548100</v>
      </c>
      <c r="J17" s="12">
        <f>(I17-H17)/H17</f>
        <v>0.48557347888593771</v>
      </c>
      <c r="K17" s="11">
        <v>3755838.888888889</v>
      </c>
      <c r="L17" s="11">
        <v>2863600</v>
      </c>
      <c r="M17" s="14">
        <f t="shared" si="2"/>
        <v>-0.23756047990462259</v>
      </c>
      <c r="N17" s="11">
        <v>3935311.111111111</v>
      </c>
      <c r="O17" s="11">
        <v>4014950</v>
      </c>
      <c r="P17" s="13">
        <f t="shared" si="3"/>
        <v>2.023699947484036E-2</v>
      </c>
      <c r="Q17" s="11">
        <v>2122961.111111111</v>
      </c>
      <c r="R17" s="11">
        <v>3069000</v>
      </c>
      <c r="S17" s="13">
        <f t="shared" si="4"/>
        <v>0.44562233567893905</v>
      </c>
      <c r="T17" s="11">
        <v>2491094.4444444445</v>
      </c>
      <c r="U17" s="11">
        <v>3864600</v>
      </c>
      <c r="V17" s="13">
        <f t="shared" si="5"/>
        <v>0.55136631154980964</v>
      </c>
      <c r="W17" s="11">
        <v>3068994.4444444445</v>
      </c>
      <c r="X17" s="11">
        <v>3024250</v>
      </c>
      <c r="Y17" s="14">
        <f t="shared" si="6"/>
        <v>-1.457951301457772E-2</v>
      </c>
      <c r="Z17" s="11">
        <v>2458383.3333333335</v>
      </c>
      <c r="AA17" s="11">
        <v>2193100</v>
      </c>
      <c r="AB17" s="16">
        <f t="shared" si="7"/>
        <v>-0.10790966963383801</v>
      </c>
      <c r="AC17" s="11">
        <v>2606116.6666666665</v>
      </c>
      <c r="AD17" s="11">
        <v>2686900</v>
      </c>
      <c r="AE17" s="17">
        <f t="shared" si="8"/>
        <v>3.0997589005352853E-2</v>
      </c>
      <c r="AF17" s="11">
        <v>5631838.888888889</v>
      </c>
      <c r="AG17" s="11">
        <v>8494150</v>
      </c>
      <c r="AH17" s="16">
        <f t="shared" si="9"/>
        <v>0.5082373923654302</v>
      </c>
      <c r="AI17" s="11">
        <v>1480366.6666666667</v>
      </c>
      <c r="AJ17" s="11">
        <v>1323800</v>
      </c>
      <c r="AK17" s="16">
        <f t="shared" si="10"/>
        <v>-0.10576208596969223</v>
      </c>
      <c r="AL17" s="11">
        <v>2711705.5555555555</v>
      </c>
      <c r="AM17" s="11">
        <v>2332750</v>
      </c>
      <c r="AN17" s="16">
        <f t="shared" si="11"/>
        <v>-0.1397480470470614</v>
      </c>
      <c r="AO17" s="11">
        <v>63777.777777777781</v>
      </c>
      <c r="AP17" s="11">
        <v>467800</v>
      </c>
      <c r="AQ17" s="16">
        <f t="shared" si="12"/>
        <v>6.3348432055749129</v>
      </c>
      <c r="AR17" s="10">
        <v>0</v>
      </c>
      <c r="AS17" s="10">
        <v>0</v>
      </c>
      <c r="AT17" s="16" t="e">
        <f t="shared" si="13"/>
        <v>#DIV/0!</v>
      </c>
      <c r="AU17" s="18">
        <v>48711405.555555552</v>
      </c>
      <c r="AV17" s="18">
        <v>54035950</v>
      </c>
      <c r="AW17" s="13">
        <f t="shared" si="14"/>
        <v>0.10930796152806109</v>
      </c>
    </row>
    <row r="18" spans="1:49" x14ac:dyDescent="0.3">
      <c r="A18" s="9" t="s">
        <v>33</v>
      </c>
      <c r="B18" s="11">
        <v>-116556.92222222223</v>
      </c>
      <c r="C18" s="11">
        <v>3330694.98</v>
      </c>
      <c r="D18" s="12">
        <f t="shared" si="0"/>
        <v>-29.575694317406953</v>
      </c>
      <c r="E18" s="11">
        <v>-158441.49777777778</v>
      </c>
      <c r="F18" s="11">
        <v>-998631</v>
      </c>
      <c r="G18" s="12">
        <f t="shared" si="1"/>
        <v>5.3028374132175307</v>
      </c>
      <c r="H18" s="11">
        <v>394878.67</v>
      </c>
      <c r="I18" s="11">
        <v>-1393791.28</v>
      </c>
      <c r="J18" s="12">
        <f>(I18-H18)/H18</f>
        <v>-4.5296697084195507</v>
      </c>
      <c r="K18" s="11">
        <v>-478307.93444444449</v>
      </c>
      <c r="L18" s="11">
        <v>-738859.73</v>
      </c>
      <c r="M18" s="14">
        <f t="shared" si="2"/>
        <v>0.54473651134009904</v>
      </c>
      <c r="N18" s="11">
        <v>-838023.17888888891</v>
      </c>
      <c r="O18" s="11">
        <v>508046.55</v>
      </c>
      <c r="P18" s="13">
        <f t="shared" si="3"/>
        <v>-1.6062440309510346</v>
      </c>
      <c r="Q18" s="11">
        <v>755033.76777777774</v>
      </c>
      <c r="R18" s="11">
        <v>-36502.230000000003</v>
      </c>
      <c r="S18" s="13">
        <f t="shared" si="4"/>
        <v>-1.0483451622401387</v>
      </c>
      <c r="T18" s="11">
        <v>411312.43777777778</v>
      </c>
      <c r="U18" s="11">
        <v>82309.03</v>
      </c>
      <c r="V18" s="13">
        <f t="shared" si="5"/>
        <v>-0.79988684406264021</v>
      </c>
      <c r="W18" s="11">
        <v>-673210.69666666666</v>
      </c>
      <c r="X18" s="11">
        <v>-3260053.87</v>
      </c>
      <c r="Y18" s="14">
        <f t="shared" si="6"/>
        <v>3.8425461540373922</v>
      </c>
      <c r="Z18" s="11">
        <v>-372131.94666666666</v>
      </c>
      <c r="AA18" s="11">
        <v>-310541.67</v>
      </c>
      <c r="AB18" s="16">
        <f t="shared" si="7"/>
        <v>-0.1655065554525893</v>
      </c>
      <c r="AC18" s="11">
        <v>162212.43333333332</v>
      </c>
      <c r="AD18" s="11">
        <v>421238.27</v>
      </c>
      <c r="AE18" s="17">
        <f t="shared" si="8"/>
        <v>1.5968309663069398</v>
      </c>
      <c r="AF18" s="11">
        <v>50507.199999999997</v>
      </c>
      <c r="AG18" s="11">
        <v>2860</v>
      </c>
      <c r="AH18" s="16">
        <f t="shared" si="9"/>
        <v>-0.94337440998511102</v>
      </c>
      <c r="AI18" s="11">
        <v>-161419.10555555555</v>
      </c>
      <c r="AJ18" s="11">
        <v>-1310618.06</v>
      </c>
      <c r="AK18" s="16">
        <f t="shared" si="10"/>
        <v>7.1193490416716818</v>
      </c>
      <c r="AL18" s="11">
        <v>-154517.6988888889</v>
      </c>
      <c r="AM18" s="11">
        <v>-218424.49</v>
      </c>
      <c r="AN18" s="16">
        <f t="shared" si="11"/>
        <v>0.41358880937688175</v>
      </c>
      <c r="AO18" s="11">
        <v>772218.08111111121</v>
      </c>
      <c r="AP18" s="11">
        <v>2385781.21</v>
      </c>
      <c r="AQ18" s="16">
        <f t="shared" si="12"/>
        <v>2.0895174152969878</v>
      </c>
      <c r="AR18" s="10">
        <v>36444.444444444445</v>
      </c>
      <c r="AS18" s="10">
        <v>760000</v>
      </c>
      <c r="AT18" s="16">
        <f t="shared" si="13"/>
        <v>19.853658536585364</v>
      </c>
      <c r="AU18" s="18">
        <v>-370001.9466666666</v>
      </c>
      <c r="AV18" s="18">
        <v>-776492.29</v>
      </c>
      <c r="AW18" s="13">
        <f t="shared" si="14"/>
        <v>1.0986167694397</v>
      </c>
    </row>
    <row r="19" spans="1:49" x14ac:dyDescent="0.3">
      <c r="A19" s="20" t="s">
        <v>34</v>
      </c>
      <c r="B19" s="10">
        <v>0</v>
      </c>
      <c r="C19" s="10">
        <v>-4335200</v>
      </c>
      <c r="D19" s="12">
        <v>0</v>
      </c>
      <c r="E19" s="10">
        <v>0</v>
      </c>
      <c r="F19" s="10">
        <v>-1807050</v>
      </c>
      <c r="G19" s="12">
        <v>0</v>
      </c>
      <c r="H19" s="10">
        <v>0</v>
      </c>
      <c r="I19" s="10">
        <v>-6084650</v>
      </c>
      <c r="J19" s="12" t="e">
        <f>(I19-H19)/H19</f>
        <v>#DIV/0!</v>
      </c>
      <c r="K19" s="10">
        <v>-1633.3333333333333</v>
      </c>
      <c r="L19" s="10">
        <v>-2978800</v>
      </c>
      <c r="M19" s="14">
        <f t="shared" si="2"/>
        <v>1822.7551020408164</v>
      </c>
      <c r="N19" s="10">
        <v>0</v>
      </c>
      <c r="O19" s="10">
        <v>-3159500</v>
      </c>
      <c r="P19" s="13" t="e">
        <f t="shared" si="3"/>
        <v>#DIV/0!</v>
      </c>
      <c r="Q19" s="10">
        <v>0</v>
      </c>
      <c r="R19" s="10">
        <v>-1831300</v>
      </c>
      <c r="S19" s="13" t="e">
        <f t="shared" si="4"/>
        <v>#DIV/0!</v>
      </c>
      <c r="T19" s="10">
        <v>0</v>
      </c>
      <c r="U19" s="10">
        <v>-3161350</v>
      </c>
      <c r="V19" s="13" t="e">
        <f t="shared" si="5"/>
        <v>#DIV/0!</v>
      </c>
      <c r="W19" s="10">
        <v>-1111.1111111111111</v>
      </c>
      <c r="X19" s="10">
        <v>-2412650</v>
      </c>
      <c r="Y19" s="14">
        <f t="shared" si="6"/>
        <v>2170.3850000000002</v>
      </c>
      <c r="Z19" s="10">
        <v>0</v>
      </c>
      <c r="AA19" s="10">
        <v>-1421250</v>
      </c>
      <c r="AB19" s="16" t="e">
        <f t="shared" si="7"/>
        <v>#DIV/0!</v>
      </c>
      <c r="AC19" s="10">
        <v>-527.77777777777783</v>
      </c>
      <c r="AD19" s="10">
        <v>-2936290</v>
      </c>
      <c r="AE19" s="17">
        <f t="shared" si="8"/>
        <v>5562.4968421052627</v>
      </c>
      <c r="AF19" s="10">
        <v>0</v>
      </c>
      <c r="AG19" s="10">
        <v>-2170900</v>
      </c>
      <c r="AH19" s="16" t="e">
        <f t="shared" si="9"/>
        <v>#DIV/0!</v>
      </c>
      <c r="AI19" s="10">
        <v>0</v>
      </c>
      <c r="AJ19" s="10">
        <v>-4382600</v>
      </c>
      <c r="AK19" s="16" t="e">
        <f t="shared" si="10"/>
        <v>#DIV/0!</v>
      </c>
      <c r="AL19" s="10">
        <v>-527.77777777777783</v>
      </c>
      <c r="AM19" s="10">
        <v>-2801450</v>
      </c>
      <c r="AN19" s="16">
        <f t="shared" si="11"/>
        <v>5307.0105263157884</v>
      </c>
      <c r="AO19" s="10">
        <v>0</v>
      </c>
      <c r="AP19" s="10">
        <v>-2258600</v>
      </c>
      <c r="AQ19" s="16" t="e">
        <f t="shared" si="12"/>
        <v>#DIV/0!</v>
      </c>
      <c r="AR19" s="10">
        <v>0</v>
      </c>
      <c r="AS19" s="10">
        <v>0</v>
      </c>
      <c r="AT19" s="16" t="e">
        <f t="shared" si="13"/>
        <v>#DIV/0!</v>
      </c>
      <c r="AU19" s="10">
        <v>-3800</v>
      </c>
      <c r="AV19" s="10">
        <v>-41741590</v>
      </c>
      <c r="AW19" s="13">
        <f t="shared" si="14"/>
        <v>10983.628947368421</v>
      </c>
    </row>
    <row r="20" spans="1:49" ht="15" thickBot="1" x14ac:dyDescent="0.35">
      <c r="A20" s="21" t="s">
        <v>16</v>
      </c>
      <c r="B20" s="22">
        <v>278167968.8888889</v>
      </c>
      <c r="C20" s="22">
        <v>252113249</v>
      </c>
      <c r="D20" s="23">
        <f>(C20-B20)/B20</f>
        <v>-9.3665420907236674E-2</v>
      </c>
      <c r="E20" s="22">
        <v>156398152.44444445</v>
      </c>
      <c r="F20" s="22">
        <v>160412038</v>
      </c>
      <c r="G20" s="23">
        <f>(F20-E20)/E20</f>
        <v>2.5664533070372166E-2</v>
      </c>
      <c r="H20" s="22">
        <v>389470674.44444448</v>
      </c>
      <c r="I20" s="22">
        <v>398883880</v>
      </c>
      <c r="J20" s="22">
        <f>(I20-H20)/H20</f>
        <v>2.4169228065714757E-2</v>
      </c>
      <c r="K20" s="22">
        <v>283831183.66666669</v>
      </c>
      <c r="L20" s="22">
        <v>175824334</v>
      </c>
      <c r="M20" s="24">
        <f t="shared" si="2"/>
        <v>-0.38053200593177483</v>
      </c>
      <c r="N20" s="22">
        <v>358538497.55555558</v>
      </c>
      <c r="O20" s="22">
        <v>345266660</v>
      </c>
      <c r="P20" s="24">
        <f t="shared" si="3"/>
        <v>-3.7016492360068279E-2</v>
      </c>
      <c r="Q20" s="22">
        <v>152127349.77777779</v>
      </c>
      <c r="R20" s="22">
        <v>113051720</v>
      </c>
      <c r="S20" s="24">
        <f t="shared" si="4"/>
        <v>-0.25686130623361336</v>
      </c>
      <c r="T20" s="22">
        <v>237635984.55555555</v>
      </c>
      <c r="U20" s="22">
        <v>236608553</v>
      </c>
      <c r="V20" s="24">
        <f t="shared" si="5"/>
        <v>-4.3235520810416444E-3</v>
      </c>
      <c r="W20" s="22">
        <v>214388747.1111111</v>
      </c>
      <c r="X20" s="22">
        <v>172223870</v>
      </c>
      <c r="Y20" s="24">
        <f t="shared" si="6"/>
        <v>-0.19667486134082562</v>
      </c>
      <c r="Z20" s="22">
        <v>166230444.77777779</v>
      </c>
      <c r="AA20" s="22">
        <v>171850178</v>
      </c>
      <c r="AB20" s="24">
        <f t="shared" si="7"/>
        <v>3.3806883147878532E-2</v>
      </c>
      <c r="AC20" s="22">
        <v>193171629.14555559</v>
      </c>
      <c r="AD20" s="22">
        <v>207527752</v>
      </c>
      <c r="AE20" s="23">
        <f t="shared" si="8"/>
        <v>7.4317967488005288E-2</v>
      </c>
      <c r="AF20" s="22">
        <v>73239826.666666672</v>
      </c>
      <c r="AG20" s="22">
        <v>76373933</v>
      </c>
      <c r="AH20" s="24">
        <f t="shared" si="9"/>
        <v>4.2792377808285292E-2</v>
      </c>
      <c r="AI20" s="22">
        <v>137124557.77777779</v>
      </c>
      <c r="AJ20" s="22">
        <v>176977884</v>
      </c>
      <c r="AK20" s="24">
        <f t="shared" si="10"/>
        <v>0.29063595075951293</v>
      </c>
      <c r="AL20" s="22">
        <v>170321978</v>
      </c>
      <c r="AM20" s="22">
        <v>166794252</v>
      </c>
      <c r="AN20" s="24">
        <f t="shared" si="11"/>
        <v>-2.07121009362632E-2</v>
      </c>
      <c r="AO20" s="22">
        <v>71565507.111111104</v>
      </c>
      <c r="AP20" s="22">
        <v>130383167</v>
      </c>
      <c r="AQ20" s="24">
        <f t="shared" si="12"/>
        <v>0.82187162871032038</v>
      </c>
      <c r="AR20" s="22">
        <v>253966.66666666666</v>
      </c>
      <c r="AS20" s="22">
        <v>760000</v>
      </c>
      <c r="AT20" s="24">
        <f t="shared" si="13"/>
        <v>1.9925187032418954</v>
      </c>
      <c r="AU20" s="22">
        <v>2882466468.5899997</v>
      </c>
      <c r="AV20" s="22">
        <v>2785051470</v>
      </c>
      <c r="AW20" s="24">
        <f t="shared" si="14"/>
        <v>-3.3795709213454143E-2</v>
      </c>
    </row>
  </sheetData>
  <mergeCells count="17">
    <mergeCell ref="AI2:AK2"/>
    <mergeCell ref="AL2:AN2"/>
    <mergeCell ref="AO2:AQ2"/>
    <mergeCell ref="AR2:AT2"/>
    <mergeCell ref="AU2:AW2"/>
    <mergeCell ref="AF2:AH2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BB110-300C-4ACB-9D48-19E1BEC06235}">
  <dimension ref="A3:P20"/>
  <sheetViews>
    <sheetView workbookViewId="0">
      <selection activeCell="B15" sqref="B15"/>
    </sheetView>
  </sheetViews>
  <sheetFormatPr defaultRowHeight="14.4" x14ac:dyDescent="0.3"/>
  <cols>
    <col min="1" max="1" width="30" bestFit="1" customWidth="1"/>
    <col min="2" max="2" width="16.33203125" bestFit="1" customWidth="1"/>
    <col min="3" max="6" width="12" bestFit="1" customWidth="1"/>
    <col min="7" max="7" width="11" bestFit="1" customWidth="1"/>
    <col min="8" max="11" width="12" bestFit="1" customWidth="1"/>
    <col min="12" max="13" width="11" bestFit="1" customWidth="1"/>
    <col min="14" max="14" width="12" bestFit="1" customWidth="1"/>
    <col min="15" max="15" width="11" bestFit="1" customWidth="1"/>
    <col min="16" max="16" width="12" bestFit="1" customWidth="1"/>
  </cols>
  <sheetData>
    <row r="3" spans="1:16" x14ac:dyDescent="0.3">
      <c r="A3" s="26" t="s">
        <v>55</v>
      </c>
      <c r="B3" s="26" t="s">
        <v>56</v>
      </c>
    </row>
    <row r="4" spans="1:16" x14ac:dyDescent="0.3">
      <c r="A4" s="26" t="s">
        <v>54</v>
      </c>
      <c r="B4" t="s">
        <v>40</v>
      </c>
      <c r="C4" t="s">
        <v>51</v>
      </c>
      <c r="D4" t="s">
        <v>53</v>
      </c>
      <c r="E4" t="s">
        <v>48</v>
      </c>
      <c r="F4" t="s">
        <v>44</v>
      </c>
      <c r="G4" t="s">
        <v>50</v>
      </c>
      <c r="H4" t="s">
        <v>52</v>
      </c>
      <c r="I4" t="s">
        <v>45</v>
      </c>
      <c r="J4" t="s">
        <v>46</v>
      </c>
      <c r="K4" t="s">
        <v>41</v>
      </c>
      <c r="L4" t="s">
        <v>42</v>
      </c>
      <c r="M4" t="s">
        <v>47</v>
      </c>
      <c r="N4" t="s">
        <v>43</v>
      </c>
      <c r="O4" t="s">
        <v>49</v>
      </c>
      <c r="P4" t="s">
        <v>16</v>
      </c>
    </row>
    <row r="5" spans="1:16" x14ac:dyDescent="0.3">
      <c r="A5" s="20" t="s">
        <v>19</v>
      </c>
      <c r="B5">
        <v>3954520</v>
      </c>
      <c r="C5">
        <v>424600</v>
      </c>
      <c r="D5">
        <v>3415800</v>
      </c>
      <c r="E5">
        <v>7423000</v>
      </c>
      <c r="F5">
        <v>3455850</v>
      </c>
      <c r="G5">
        <v>2775700</v>
      </c>
      <c r="H5">
        <v>5267600</v>
      </c>
      <c r="I5">
        <v>1988000</v>
      </c>
      <c r="J5">
        <v>4656100</v>
      </c>
      <c r="K5">
        <v>3841000</v>
      </c>
      <c r="L5">
        <v>2340000</v>
      </c>
      <c r="M5">
        <v>1801000</v>
      </c>
      <c r="N5">
        <v>225000</v>
      </c>
      <c r="O5">
        <v>2515000</v>
      </c>
      <c r="P5">
        <v>44083170</v>
      </c>
    </row>
    <row r="6" spans="1:16" x14ac:dyDescent="0.3">
      <c r="A6" s="20" t="s">
        <v>20</v>
      </c>
      <c r="B6">
        <v>1662400</v>
      </c>
      <c r="C6">
        <v>1400</v>
      </c>
      <c r="D6">
        <v>2933900</v>
      </c>
      <c r="E6">
        <v>27349915</v>
      </c>
      <c r="F6">
        <v>50295750</v>
      </c>
      <c r="G6">
        <v>772000</v>
      </c>
      <c r="H6">
        <v>9640650</v>
      </c>
      <c r="I6">
        <v>1556950</v>
      </c>
      <c r="J6">
        <v>2004400</v>
      </c>
      <c r="K6">
        <v>18108250</v>
      </c>
      <c r="M6">
        <v>21507300</v>
      </c>
      <c r="N6">
        <v>1357700</v>
      </c>
      <c r="O6">
        <v>1012800</v>
      </c>
      <c r="P6">
        <v>138203415</v>
      </c>
    </row>
    <row r="7" spans="1:16" x14ac:dyDescent="0.3">
      <c r="A7" s="20" t="s">
        <v>21</v>
      </c>
      <c r="B7">
        <v>9983820</v>
      </c>
      <c r="C7">
        <v>13624200</v>
      </c>
      <c r="D7">
        <v>14064320</v>
      </c>
      <c r="E7">
        <v>6935950</v>
      </c>
      <c r="F7">
        <v>24367950</v>
      </c>
      <c r="G7">
        <v>22244450</v>
      </c>
      <c r="H7">
        <v>12170740</v>
      </c>
      <c r="I7">
        <v>36489876</v>
      </c>
      <c r="J7">
        <v>6202650</v>
      </c>
      <c r="K7">
        <v>16955030</v>
      </c>
      <c r="M7">
        <v>13153700</v>
      </c>
      <c r="N7">
        <v>9088450</v>
      </c>
      <c r="O7">
        <v>6287000</v>
      </c>
      <c r="P7">
        <v>191568136</v>
      </c>
    </row>
    <row r="8" spans="1:16" x14ac:dyDescent="0.3">
      <c r="A8" s="20" t="s">
        <v>22</v>
      </c>
      <c r="B8">
        <v>29962990</v>
      </c>
      <c r="C8">
        <v>16849000</v>
      </c>
      <c r="D8">
        <v>41449880</v>
      </c>
      <c r="E8">
        <v>11074670</v>
      </c>
      <c r="F8">
        <v>15615605</v>
      </c>
      <c r="G8">
        <v>14958030</v>
      </c>
      <c r="H8">
        <v>6249865</v>
      </c>
      <c r="I8">
        <v>12634980</v>
      </c>
      <c r="J8">
        <v>10143095</v>
      </c>
      <c r="K8">
        <v>7484300</v>
      </c>
      <c r="L8">
        <v>1878785</v>
      </c>
      <c r="M8">
        <v>4556825</v>
      </c>
      <c r="N8">
        <v>3510515</v>
      </c>
      <c r="O8">
        <v>2529550</v>
      </c>
      <c r="P8">
        <v>178898090</v>
      </c>
    </row>
    <row r="9" spans="1:16" x14ac:dyDescent="0.3">
      <c r="A9" s="20" t="s">
        <v>23</v>
      </c>
      <c r="B9">
        <v>13962410</v>
      </c>
      <c r="C9">
        <v>12515591</v>
      </c>
      <c r="D9">
        <v>11776510</v>
      </c>
      <c r="E9">
        <v>25071100</v>
      </c>
      <c r="F9">
        <v>11226530</v>
      </c>
      <c r="G9">
        <v>3985550</v>
      </c>
      <c r="H9">
        <v>6799300</v>
      </c>
      <c r="I9">
        <v>6423150</v>
      </c>
      <c r="J9">
        <v>8327050</v>
      </c>
      <c r="K9">
        <v>6319500</v>
      </c>
      <c r="L9">
        <v>2202050</v>
      </c>
      <c r="M9">
        <v>2413050</v>
      </c>
      <c r="N9">
        <v>11029145</v>
      </c>
      <c r="O9">
        <v>1981700</v>
      </c>
      <c r="P9">
        <v>124032636</v>
      </c>
    </row>
    <row r="10" spans="1:16" x14ac:dyDescent="0.3">
      <c r="A10" s="20" t="s">
        <v>24</v>
      </c>
      <c r="B10">
        <v>14086930</v>
      </c>
      <c r="C10">
        <v>12707025</v>
      </c>
      <c r="D10">
        <v>17364465</v>
      </c>
      <c r="E10">
        <v>9287325</v>
      </c>
      <c r="F10">
        <v>16582980</v>
      </c>
      <c r="G10">
        <v>6136410</v>
      </c>
      <c r="H10">
        <v>8336690</v>
      </c>
      <c r="I10">
        <v>10108335</v>
      </c>
      <c r="J10">
        <v>11854020</v>
      </c>
      <c r="K10">
        <v>9570925</v>
      </c>
      <c r="L10">
        <v>1182740</v>
      </c>
      <c r="M10">
        <v>2717450</v>
      </c>
      <c r="N10">
        <v>6913705</v>
      </c>
      <c r="O10">
        <v>497065</v>
      </c>
      <c r="P10">
        <v>127346065</v>
      </c>
    </row>
    <row r="11" spans="1:16" x14ac:dyDescent="0.3">
      <c r="A11" s="20" t="s">
        <v>25</v>
      </c>
      <c r="B11">
        <v>24534540</v>
      </c>
      <c r="C11">
        <v>24531928</v>
      </c>
      <c r="D11">
        <v>52275092</v>
      </c>
      <c r="E11">
        <v>31534714</v>
      </c>
      <c r="F11">
        <v>49285012</v>
      </c>
      <c r="G11">
        <v>19879126</v>
      </c>
      <c r="H11">
        <v>27581319</v>
      </c>
      <c r="I11">
        <v>48030502.5</v>
      </c>
      <c r="J11">
        <v>15943638</v>
      </c>
      <c r="K11">
        <v>20875318</v>
      </c>
      <c r="L11">
        <v>767750</v>
      </c>
      <c r="M11">
        <v>20921900</v>
      </c>
      <c r="N11">
        <v>9646941</v>
      </c>
      <c r="O11">
        <v>10264750</v>
      </c>
      <c r="P11">
        <v>356072530.5</v>
      </c>
    </row>
    <row r="12" spans="1:16" x14ac:dyDescent="0.3">
      <c r="A12" s="20" t="s">
        <v>26</v>
      </c>
      <c r="B12">
        <v>6693015</v>
      </c>
      <c r="C12">
        <v>12674575</v>
      </c>
      <c r="D12">
        <v>9987225</v>
      </c>
      <c r="E12">
        <v>27551480</v>
      </c>
      <c r="F12">
        <v>4519175</v>
      </c>
      <c r="G12">
        <v>15158045</v>
      </c>
      <c r="H12">
        <v>1791775</v>
      </c>
      <c r="I12">
        <v>8292260</v>
      </c>
      <c r="J12">
        <v>4819810</v>
      </c>
      <c r="K12">
        <v>6631160</v>
      </c>
      <c r="L12">
        <v>411950</v>
      </c>
      <c r="M12">
        <v>6658630</v>
      </c>
      <c r="N12">
        <v>3349600</v>
      </c>
      <c r="O12">
        <v>1497720</v>
      </c>
      <c r="P12">
        <v>110036420</v>
      </c>
    </row>
    <row r="13" spans="1:16" x14ac:dyDescent="0.3">
      <c r="A13" s="20" t="s">
        <v>27</v>
      </c>
      <c r="B13">
        <v>21407178</v>
      </c>
      <c r="C13">
        <v>9205505</v>
      </c>
      <c r="D13">
        <v>32870511</v>
      </c>
      <c r="E13">
        <v>28264988</v>
      </c>
      <c r="F13">
        <v>13516713</v>
      </c>
      <c r="G13">
        <v>4951127</v>
      </c>
      <c r="H13">
        <v>13546980</v>
      </c>
      <c r="I13">
        <v>4195676</v>
      </c>
      <c r="J13">
        <v>18931451</v>
      </c>
      <c r="K13">
        <v>8050750</v>
      </c>
      <c r="L13">
        <v>23579398.199999999</v>
      </c>
      <c r="M13">
        <v>4517206</v>
      </c>
      <c r="N13">
        <v>18704806</v>
      </c>
      <c r="O13">
        <v>4655690</v>
      </c>
      <c r="P13">
        <v>206397979.19999999</v>
      </c>
    </row>
    <row r="14" spans="1:16" x14ac:dyDescent="0.3">
      <c r="A14" s="20" t="s">
        <v>28</v>
      </c>
      <c r="B14">
        <v>43059600</v>
      </c>
      <c r="C14">
        <v>20525000</v>
      </c>
      <c r="D14">
        <v>58058900</v>
      </c>
      <c r="E14">
        <v>29726300</v>
      </c>
      <c r="F14">
        <v>42268600</v>
      </c>
      <c r="G14">
        <v>12488500</v>
      </c>
      <c r="H14">
        <v>36962700</v>
      </c>
      <c r="I14">
        <v>5496100</v>
      </c>
      <c r="J14">
        <v>65471800</v>
      </c>
      <c r="K14">
        <v>19504400</v>
      </c>
      <c r="L14">
        <v>32521300</v>
      </c>
      <c r="M14">
        <v>19139200</v>
      </c>
      <c r="N14">
        <v>23649700</v>
      </c>
      <c r="O14">
        <v>4288000</v>
      </c>
      <c r="P14">
        <v>413160100</v>
      </c>
    </row>
    <row r="15" spans="1:16" x14ac:dyDescent="0.3">
      <c r="A15" s="20" t="s">
        <v>29</v>
      </c>
      <c r="B15">
        <v>13625270.970000001</v>
      </c>
      <c r="C15">
        <v>19774054.710000001</v>
      </c>
      <c r="D15">
        <v>14149843.23</v>
      </c>
      <c r="E15">
        <v>16700634.09</v>
      </c>
      <c r="F15">
        <v>27735841.760000002</v>
      </c>
      <c r="G15">
        <v>8860630.1199999992</v>
      </c>
      <c r="H15">
        <v>13664642.92</v>
      </c>
      <c r="I15">
        <v>14651249.15</v>
      </c>
      <c r="J15">
        <v>10740456.310000001</v>
      </c>
      <c r="K15">
        <v>23491539.780000001</v>
      </c>
      <c r="L15">
        <v>3196700</v>
      </c>
      <c r="M15">
        <v>7649932.3799999999</v>
      </c>
      <c r="N15">
        <v>12812377.720000001</v>
      </c>
      <c r="O15">
        <v>6885446.1699999999</v>
      </c>
      <c r="P15">
        <v>193938619.31</v>
      </c>
    </row>
    <row r="16" spans="1:16" x14ac:dyDescent="0.3">
      <c r="A16" s="20" t="s">
        <v>30</v>
      </c>
      <c r="B16">
        <v>28802990</v>
      </c>
      <c r="C16">
        <v>12544109</v>
      </c>
      <c r="D16">
        <v>48288200</v>
      </c>
      <c r="E16">
        <v>23053380</v>
      </c>
      <c r="F16">
        <v>38125437</v>
      </c>
      <c r="G16">
        <v>15193440</v>
      </c>
      <c r="H16">
        <v>25133760</v>
      </c>
      <c r="I16">
        <v>12586300</v>
      </c>
      <c r="J16">
        <v>14568200</v>
      </c>
      <c r="K16">
        <v>8944600</v>
      </c>
      <c r="L16">
        <v>17994100</v>
      </c>
      <c r="M16">
        <v>9599590</v>
      </c>
      <c r="N16">
        <v>11116000</v>
      </c>
      <c r="O16">
        <v>6731490</v>
      </c>
      <c r="P16">
        <v>272681596</v>
      </c>
    </row>
    <row r="17" spans="1:16" x14ac:dyDescent="0.3">
      <c r="A17" s="20" t="s">
        <v>31</v>
      </c>
      <c r="B17">
        <v>16155900</v>
      </c>
      <c r="C17">
        <v>6270500</v>
      </c>
      <c r="D17">
        <v>68197750</v>
      </c>
      <c r="E17">
        <v>21114900</v>
      </c>
      <c r="F17">
        <v>26555000</v>
      </c>
      <c r="G17">
        <v>22664500</v>
      </c>
      <c r="H17">
        <v>23291910</v>
      </c>
      <c r="I17">
        <v>25326000</v>
      </c>
      <c r="J17">
        <v>26352450</v>
      </c>
      <c r="K17">
        <v>20577300</v>
      </c>
      <c r="L17">
        <v>15701750</v>
      </c>
      <c r="M17">
        <v>10728000</v>
      </c>
      <c r="N17">
        <v>9504400</v>
      </c>
      <c r="O17">
        <v>4589000</v>
      </c>
      <c r="P17">
        <v>297029360</v>
      </c>
    </row>
    <row r="18" spans="1:16" x14ac:dyDescent="0.3">
      <c r="A18" s="20" t="s">
        <v>32</v>
      </c>
      <c r="B18">
        <v>3765350</v>
      </c>
      <c r="C18">
        <v>7483200</v>
      </c>
      <c r="D18">
        <v>9092000</v>
      </c>
      <c r="E18">
        <v>4333950</v>
      </c>
      <c r="F18">
        <v>2694150</v>
      </c>
      <c r="G18">
        <v>1338500</v>
      </c>
      <c r="H18">
        <v>2591100</v>
      </c>
      <c r="I18">
        <v>4885600</v>
      </c>
      <c r="J18">
        <v>2151550</v>
      </c>
      <c r="K18">
        <v>2834900</v>
      </c>
      <c r="L18">
        <v>6074200</v>
      </c>
      <c r="M18">
        <v>530700</v>
      </c>
      <c r="N18">
        <v>3185950</v>
      </c>
      <c r="O18">
        <v>37400</v>
      </c>
      <c r="P18">
        <v>50998550</v>
      </c>
    </row>
    <row r="19" spans="1:16" x14ac:dyDescent="0.3">
      <c r="A19" s="20" t="s">
        <v>33</v>
      </c>
      <c r="B19">
        <v>-415260.97</v>
      </c>
      <c r="C19">
        <v>589702.29</v>
      </c>
      <c r="D19">
        <v>-1712125.23</v>
      </c>
      <c r="E19">
        <v>-484048.09</v>
      </c>
      <c r="F19">
        <v>-636930.76</v>
      </c>
      <c r="G19">
        <v>373718.88</v>
      </c>
      <c r="H19">
        <v>-331837.92</v>
      </c>
      <c r="I19">
        <v>-395563.65</v>
      </c>
      <c r="J19">
        <v>-1264668.31</v>
      </c>
      <c r="K19">
        <v>593347.22</v>
      </c>
      <c r="L19">
        <v>295735.8</v>
      </c>
      <c r="M19">
        <v>138471.62</v>
      </c>
      <c r="N19">
        <v>-296795.71999999997</v>
      </c>
      <c r="O19">
        <v>5664929.8300000001</v>
      </c>
      <c r="P19">
        <v>2118674.9900000002</v>
      </c>
    </row>
    <row r="20" spans="1:16" x14ac:dyDescent="0.3">
      <c r="A20" s="20" t="s">
        <v>16</v>
      </c>
      <c r="B20">
        <v>231241653</v>
      </c>
      <c r="C20">
        <v>169720390</v>
      </c>
      <c r="D20">
        <v>382212271</v>
      </c>
      <c r="E20">
        <v>268938258.00000006</v>
      </c>
      <c r="F20">
        <v>325607663</v>
      </c>
      <c r="G20">
        <v>151779727</v>
      </c>
      <c r="H20">
        <v>192697194</v>
      </c>
      <c r="I20">
        <v>192269415</v>
      </c>
      <c r="J20">
        <v>200902002</v>
      </c>
      <c r="K20">
        <v>173782320</v>
      </c>
      <c r="L20">
        <v>108146459</v>
      </c>
      <c r="M20">
        <v>126032955</v>
      </c>
      <c r="N20">
        <v>123797494</v>
      </c>
      <c r="O20">
        <v>59437541</v>
      </c>
      <c r="P20">
        <v>2706565342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7E25-FAEF-4441-A753-7E95FEB711B3}">
  <dimension ref="A1:C209"/>
  <sheetViews>
    <sheetView workbookViewId="0">
      <selection activeCell="B4" sqref="A1:C209"/>
    </sheetView>
  </sheetViews>
  <sheetFormatPr defaultRowHeight="14.4" x14ac:dyDescent="0.3"/>
  <cols>
    <col min="1" max="1" width="12.109375" bestFit="1" customWidth="1"/>
    <col min="2" max="2" width="30" bestFit="1" customWidth="1"/>
    <col min="3" max="3" width="12" bestFit="1" customWidth="1"/>
  </cols>
  <sheetData>
    <row r="1" spans="1:3" x14ac:dyDescent="0.3">
      <c r="A1" t="s">
        <v>37</v>
      </c>
      <c r="B1" t="s">
        <v>38</v>
      </c>
      <c r="C1" t="s">
        <v>39</v>
      </c>
    </row>
    <row r="2" spans="1:3" x14ac:dyDescent="0.3">
      <c r="A2" t="s">
        <v>40</v>
      </c>
      <c r="B2" t="s">
        <v>25</v>
      </c>
      <c r="C2">
        <v>24534540</v>
      </c>
    </row>
    <row r="3" spans="1:3" x14ac:dyDescent="0.3">
      <c r="A3" t="s">
        <v>41</v>
      </c>
      <c r="B3" t="s">
        <v>33</v>
      </c>
      <c r="C3">
        <v>593347.22</v>
      </c>
    </row>
    <row r="4" spans="1:3" x14ac:dyDescent="0.3">
      <c r="A4" t="s">
        <v>40</v>
      </c>
      <c r="B4" t="s">
        <v>32</v>
      </c>
      <c r="C4">
        <v>3765350</v>
      </c>
    </row>
    <row r="5" spans="1:3" x14ac:dyDescent="0.3">
      <c r="A5" t="s">
        <v>41</v>
      </c>
      <c r="B5" t="s">
        <v>20</v>
      </c>
      <c r="C5">
        <v>18108250</v>
      </c>
    </row>
    <row r="6" spans="1:3" x14ac:dyDescent="0.3">
      <c r="A6" t="s">
        <v>42</v>
      </c>
      <c r="B6" t="s">
        <v>24</v>
      </c>
      <c r="C6">
        <v>1182740</v>
      </c>
    </row>
    <row r="7" spans="1:3" x14ac:dyDescent="0.3">
      <c r="A7" t="s">
        <v>41</v>
      </c>
      <c r="B7" t="s">
        <v>32</v>
      </c>
      <c r="C7">
        <v>2834900</v>
      </c>
    </row>
    <row r="8" spans="1:3" x14ac:dyDescent="0.3">
      <c r="A8" t="s">
        <v>43</v>
      </c>
      <c r="B8" t="s">
        <v>20</v>
      </c>
      <c r="C8">
        <v>1357700</v>
      </c>
    </row>
    <row r="9" spans="1:3" x14ac:dyDescent="0.3">
      <c r="A9" t="s">
        <v>44</v>
      </c>
      <c r="B9" t="s">
        <v>26</v>
      </c>
      <c r="C9">
        <v>4519175</v>
      </c>
    </row>
    <row r="10" spans="1:3" x14ac:dyDescent="0.3">
      <c r="A10" t="s">
        <v>45</v>
      </c>
      <c r="B10" t="s">
        <v>26</v>
      </c>
      <c r="C10">
        <v>8292260</v>
      </c>
    </row>
    <row r="11" spans="1:3" x14ac:dyDescent="0.3">
      <c r="A11" t="s">
        <v>40</v>
      </c>
      <c r="B11" t="s">
        <v>27</v>
      </c>
      <c r="C11">
        <v>21407178</v>
      </c>
    </row>
    <row r="12" spans="1:3" x14ac:dyDescent="0.3">
      <c r="A12" t="s">
        <v>46</v>
      </c>
      <c r="B12" t="s">
        <v>27</v>
      </c>
      <c r="C12">
        <v>18931451</v>
      </c>
    </row>
    <row r="13" spans="1:3" x14ac:dyDescent="0.3">
      <c r="A13" t="s">
        <v>40</v>
      </c>
      <c r="B13" t="s">
        <v>30</v>
      </c>
      <c r="C13">
        <v>28802990</v>
      </c>
    </row>
    <row r="14" spans="1:3" x14ac:dyDescent="0.3">
      <c r="A14" t="s">
        <v>40</v>
      </c>
      <c r="B14" t="s">
        <v>31</v>
      </c>
      <c r="C14">
        <v>16155900</v>
      </c>
    </row>
    <row r="15" spans="1:3" x14ac:dyDescent="0.3">
      <c r="A15" t="s">
        <v>40</v>
      </c>
      <c r="B15" t="s">
        <v>26</v>
      </c>
      <c r="C15">
        <v>6693015</v>
      </c>
    </row>
    <row r="16" spans="1:3" x14ac:dyDescent="0.3">
      <c r="A16" t="s">
        <v>43</v>
      </c>
      <c r="B16" t="s">
        <v>24</v>
      </c>
      <c r="C16">
        <v>6913705</v>
      </c>
    </row>
    <row r="17" spans="1:3" x14ac:dyDescent="0.3">
      <c r="A17" t="s">
        <v>44</v>
      </c>
      <c r="B17" t="s">
        <v>23</v>
      </c>
      <c r="C17">
        <v>11226530</v>
      </c>
    </row>
    <row r="18" spans="1:3" x14ac:dyDescent="0.3">
      <c r="A18" t="s">
        <v>43</v>
      </c>
      <c r="B18" t="s">
        <v>19</v>
      </c>
      <c r="C18">
        <v>225000</v>
      </c>
    </row>
    <row r="19" spans="1:3" x14ac:dyDescent="0.3">
      <c r="A19" t="s">
        <v>45</v>
      </c>
      <c r="B19" t="s">
        <v>23</v>
      </c>
      <c r="C19">
        <v>6423150</v>
      </c>
    </row>
    <row r="20" spans="1:3" x14ac:dyDescent="0.3">
      <c r="A20" t="s">
        <v>46</v>
      </c>
      <c r="B20" t="s">
        <v>22</v>
      </c>
      <c r="C20">
        <v>10143095</v>
      </c>
    </row>
    <row r="21" spans="1:3" x14ac:dyDescent="0.3">
      <c r="A21" t="s">
        <v>47</v>
      </c>
      <c r="B21" t="s">
        <v>25</v>
      </c>
      <c r="C21">
        <v>20921900</v>
      </c>
    </row>
    <row r="22" spans="1:3" x14ac:dyDescent="0.3">
      <c r="A22" t="s">
        <v>46</v>
      </c>
      <c r="B22" t="s">
        <v>29</v>
      </c>
      <c r="C22">
        <v>10740456.310000001</v>
      </c>
    </row>
    <row r="23" spans="1:3" x14ac:dyDescent="0.3">
      <c r="A23" t="s">
        <v>48</v>
      </c>
      <c r="B23" t="s">
        <v>22</v>
      </c>
      <c r="C23">
        <v>11074670</v>
      </c>
    </row>
    <row r="24" spans="1:3" x14ac:dyDescent="0.3">
      <c r="A24" t="s">
        <v>44</v>
      </c>
      <c r="B24" t="s">
        <v>21</v>
      </c>
      <c r="C24">
        <v>24367950</v>
      </c>
    </row>
    <row r="25" spans="1:3" x14ac:dyDescent="0.3">
      <c r="A25" t="s">
        <v>49</v>
      </c>
      <c r="B25" t="s">
        <v>21</v>
      </c>
      <c r="C25">
        <v>6287000</v>
      </c>
    </row>
    <row r="26" spans="1:3" x14ac:dyDescent="0.3">
      <c r="A26" t="s">
        <v>47</v>
      </c>
      <c r="B26" t="s">
        <v>22</v>
      </c>
      <c r="C26">
        <v>4556825</v>
      </c>
    </row>
    <row r="27" spans="1:3" x14ac:dyDescent="0.3">
      <c r="A27" t="s">
        <v>42</v>
      </c>
      <c r="B27" t="s">
        <v>33</v>
      </c>
      <c r="C27">
        <v>295735.8</v>
      </c>
    </row>
    <row r="28" spans="1:3" x14ac:dyDescent="0.3">
      <c r="A28" t="s">
        <v>50</v>
      </c>
      <c r="B28" t="s">
        <v>19</v>
      </c>
      <c r="C28">
        <v>2775700</v>
      </c>
    </row>
    <row r="29" spans="1:3" x14ac:dyDescent="0.3">
      <c r="A29" t="s">
        <v>49</v>
      </c>
      <c r="B29" t="s">
        <v>23</v>
      </c>
      <c r="C29">
        <v>1981700</v>
      </c>
    </row>
    <row r="30" spans="1:3" x14ac:dyDescent="0.3">
      <c r="A30" t="s">
        <v>45</v>
      </c>
      <c r="B30" t="s">
        <v>24</v>
      </c>
      <c r="C30">
        <v>10108335</v>
      </c>
    </row>
    <row r="31" spans="1:3" x14ac:dyDescent="0.3">
      <c r="A31" t="s">
        <v>45</v>
      </c>
      <c r="B31" t="s">
        <v>22</v>
      </c>
      <c r="C31">
        <v>12634980</v>
      </c>
    </row>
    <row r="32" spans="1:3" x14ac:dyDescent="0.3">
      <c r="A32" t="s">
        <v>40</v>
      </c>
      <c r="B32" t="s">
        <v>19</v>
      </c>
      <c r="C32">
        <v>3954520</v>
      </c>
    </row>
    <row r="33" spans="1:3" x14ac:dyDescent="0.3">
      <c r="A33" t="s">
        <v>40</v>
      </c>
      <c r="B33" t="s">
        <v>33</v>
      </c>
      <c r="C33">
        <v>-415260.97</v>
      </c>
    </row>
    <row r="34" spans="1:3" x14ac:dyDescent="0.3">
      <c r="A34" t="s">
        <v>49</v>
      </c>
      <c r="B34" t="s">
        <v>26</v>
      </c>
      <c r="C34">
        <v>1497720</v>
      </c>
    </row>
    <row r="35" spans="1:3" x14ac:dyDescent="0.3">
      <c r="A35" t="s">
        <v>44</v>
      </c>
      <c r="B35" t="s">
        <v>29</v>
      </c>
      <c r="C35">
        <v>27735841.760000002</v>
      </c>
    </row>
    <row r="36" spans="1:3" x14ac:dyDescent="0.3">
      <c r="A36" t="s">
        <v>51</v>
      </c>
      <c r="B36" t="s">
        <v>28</v>
      </c>
      <c r="C36">
        <v>20525000</v>
      </c>
    </row>
    <row r="37" spans="1:3" x14ac:dyDescent="0.3">
      <c r="A37" t="s">
        <v>50</v>
      </c>
      <c r="B37" t="s">
        <v>23</v>
      </c>
      <c r="C37">
        <v>3985550</v>
      </c>
    </row>
    <row r="38" spans="1:3" x14ac:dyDescent="0.3">
      <c r="A38" t="s">
        <v>52</v>
      </c>
      <c r="B38" t="s">
        <v>24</v>
      </c>
      <c r="C38">
        <v>8336690</v>
      </c>
    </row>
    <row r="39" spans="1:3" x14ac:dyDescent="0.3">
      <c r="A39" t="s">
        <v>43</v>
      </c>
      <c r="B39" t="s">
        <v>23</v>
      </c>
      <c r="C39">
        <v>11029145</v>
      </c>
    </row>
    <row r="40" spans="1:3" x14ac:dyDescent="0.3">
      <c r="A40" t="s">
        <v>44</v>
      </c>
      <c r="B40" t="s">
        <v>28</v>
      </c>
      <c r="C40">
        <v>42268600</v>
      </c>
    </row>
    <row r="41" spans="1:3" x14ac:dyDescent="0.3">
      <c r="A41" t="s">
        <v>53</v>
      </c>
      <c r="B41" t="s">
        <v>28</v>
      </c>
      <c r="C41">
        <v>58058900</v>
      </c>
    </row>
    <row r="42" spans="1:3" x14ac:dyDescent="0.3">
      <c r="A42" t="s">
        <v>42</v>
      </c>
      <c r="B42" t="s">
        <v>19</v>
      </c>
      <c r="C42">
        <v>2340000</v>
      </c>
    </row>
    <row r="43" spans="1:3" x14ac:dyDescent="0.3">
      <c r="A43" t="s">
        <v>47</v>
      </c>
      <c r="B43" t="s">
        <v>23</v>
      </c>
      <c r="C43">
        <v>2413050</v>
      </c>
    </row>
    <row r="44" spans="1:3" x14ac:dyDescent="0.3">
      <c r="A44" t="s">
        <v>51</v>
      </c>
      <c r="B44" t="s">
        <v>33</v>
      </c>
      <c r="C44">
        <v>589702.29</v>
      </c>
    </row>
    <row r="45" spans="1:3" x14ac:dyDescent="0.3">
      <c r="A45" t="s">
        <v>52</v>
      </c>
      <c r="B45" t="s">
        <v>26</v>
      </c>
      <c r="C45">
        <v>1791775</v>
      </c>
    </row>
    <row r="46" spans="1:3" x14ac:dyDescent="0.3">
      <c r="A46" t="s">
        <v>47</v>
      </c>
      <c r="B46" t="s">
        <v>27</v>
      </c>
      <c r="C46">
        <v>4517206</v>
      </c>
    </row>
    <row r="47" spans="1:3" x14ac:dyDescent="0.3">
      <c r="A47" t="s">
        <v>43</v>
      </c>
      <c r="B47" t="s">
        <v>25</v>
      </c>
      <c r="C47">
        <v>9646941</v>
      </c>
    </row>
    <row r="48" spans="1:3" x14ac:dyDescent="0.3">
      <c r="A48" t="s">
        <v>49</v>
      </c>
      <c r="B48" t="s">
        <v>22</v>
      </c>
      <c r="C48">
        <v>2529550</v>
      </c>
    </row>
    <row r="49" spans="1:3" x14ac:dyDescent="0.3">
      <c r="A49" t="s">
        <v>48</v>
      </c>
      <c r="B49" t="s">
        <v>31</v>
      </c>
      <c r="C49">
        <v>21114900</v>
      </c>
    </row>
    <row r="50" spans="1:3" x14ac:dyDescent="0.3">
      <c r="A50" t="s">
        <v>44</v>
      </c>
      <c r="B50" t="s">
        <v>33</v>
      </c>
      <c r="C50">
        <v>-636930.76</v>
      </c>
    </row>
    <row r="51" spans="1:3" x14ac:dyDescent="0.3">
      <c r="A51" t="s">
        <v>41</v>
      </c>
      <c r="B51" t="s">
        <v>28</v>
      </c>
      <c r="C51">
        <v>19504400</v>
      </c>
    </row>
    <row r="52" spans="1:3" x14ac:dyDescent="0.3">
      <c r="A52" t="s">
        <v>53</v>
      </c>
      <c r="B52" t="s">
        <v>33</v>
      </c>
      <c r="C52">
        <v>-1712125.23</v>
      </c>
    </row>
    <row r="53" spans="1:3" x14ac:dyDescent="0.3">
      <c r="A53" t="s">
        <v>52</v>
      </c>
      <c r="B53" t="s">
        <v>27</v>
      </c>
      <c r="C53">
        <v>13546980</v>
      </c>
    </row>
    <row r="54" spans="1:3" x14ac:dyDescent="0.3">
      <c r="A54" t="s">
        <v>43</v>
      </c>
      <c r="B54" t="s">
        <v>26</v>
      </c>
      <c r="C54">
        <v>3349600</v>
      </c>
    </row>
    <row r="55" spans="1:3" x14ac:dyDescent="0.3">
      <c r="A55" t="s">
        <v>51</v>
      </c>
      <c r="B55" t="s">
        <v>25</v>
      </c>
      <c r="C55">
        <v>24531928</v>
      </c>
    </row>
    <row r="56" spans="1:3" x14ac:dyDescent="0.3">
      <c r="A56" t="s">
        <v>50</v>
      </c>
      <c r="B56" t="s">
        <v>32</v>
      </c>
      <c r="C56">
        <v>1338500</v>
      </c>
    </row>
    <row r="57" spans="1:3" x14ac:dyDescent="0.3">
      <c r="A57" t="s">
        <v>41</v>
      </c>
      <c r="B57" t="s">
        <v>30</v>
      </c>
      <c r="C57">
        <v>8944600</v>
      </c>
    </row>
    <row r="58" spans="1:3" x14ac:dyDescent="0.3">
      <c r="A58" t="s">
        <v>49</v>
      </c>
      <c r="B58" t="s">
        <v>28</v>
      </c>
      <c r="C58">
        <v>4288000</v>
      </c>
    </row>
    <row r="59" spans="1:3" x14ac:dyDescent="0.3">
      <c r="A59" t="s">
        <v>48</v>
      </c>
      <c r="B59" t="s">
        <v>25</v>
      </c>
      <c r="C59">
        <v>31534714</v>
      </c>
    </row>
    <row r="60" spans="1:3" x14ac:dyDescent="0.3">
      <c r="A60" t="s">
        <v>49</v>
      </c>
      <c r="B60" t="s">
        <v>31</v>
      </c>
      <c r="C60">
        <v>4589000</v>
      </c>
    </row>
    <row r="61" spans="1:3" x14ac:dyDescent="0.3">
      <c r="A61" t="s">
        <v>44</v>
      </c>
      <c r="B61" t="s">
        <v>27</v>
      </c>
      <c r="C61">
        <v>13516713</v>
      </c>
    </row>
    <row r="62" spans="1:3" x14ac:dyDescent="0.3">
      <c r="A62" t="s">
        <v>45</v>
      </c>
      <c r="B62" t="s">
        <v>19</v>
      </c>
      <c r="C62">
        <v>1988000</v>
      </c>
    </row>
    <row r="63" spans="1:3" x14ac:dyDescent="0.3">
      <c r="A63" t="s">
        <v>51</v>
      </c>
      <c r="B63" t="s">
        <v>30</v>
      </c>
      <c r="C63">
        <v>12544109</v>
      </c>
    </row>
    <row r="64" spans="1:3" x14ac:dyDescent="0.3">
      <c r="A64" t="s">
        <v>44</v>
      </c>
      <c r="B64" t="s">
        <v>30</v>
      </c>
      <c r="C64">
        <v>38125437</v>
      </c>
    </row>
    <row r="65" spans="1:3" x14ac:dyDescent="0.3">
      <c r="A65" t="s">
        <v>41</v>
      </c>
      <c r="B65" t="s">
        <v>26</v>
      </c>
      <c r="C65">
        <v>6631160</v>
      </c>
    </row>
    <row r="66" spans="1:3" x14ac:dyDescent="0.3">
      <c r="A66" t="s">
        <v>53</v>
      </c>
      <c r="B66" t="s">
        <v>20</v>
      </c>
      <c r="C66">
        <v>2933900</v>
      </c>
    </row>
    <row r="67" spans="1:3" x14ac:dyDescent="0.3">
      <c r="A67" t="s">
        <v>50</v>
      </c>
      <c r="B67" t="s">
        <v>24</v>
      </c>
      <c r="C67">
        <v>6136410</v>
      </c>
    </row>
    <row r="68" spans="1:3" x14ac:dyDescent="0.3">
      <c r="A68" t="s">
        <v>41</v>
      </c>
      <c r="B68" t="s">
        <v>21</v>
      </c>
      <c r="C68">
        <v>16955030</v>
      </c>
    </row>
    <row r="69" spans="1:3" x14ac:dyDescent="0.3">
      <c r="A69" t="s">
        <v>49</v>
      </c>
      <c r="B69" t="s">
        <v>32</v>
      </c>
      <c r="C69">
        <v>37400</v>
      </c>
    </row>
    <row r="70" spans="1:3" x14ac:dyDescent="0.3">
      <c r="A70" t="s">
        <v>50</v>
      </c>
      <c r="B70" t="s">
        <v>27</v>
      </c>
      <c r="C70">
        <v>4951127</v>
      </c>
    </row>
    <row r="71" spans="1:3" x14ac:dyDescent="0.3">
      <c r="A71" t="s">
        <v>53</v>
      </c>
      <c r="B71" t="s">
        <v>24</v>
      </c>
      <c r="C71">
        <v>17364465</v>
      </c>
    </row>
    <row r="72" spans="1:3" x14ac:dyDescent="0.3">
      <c r="A72" t="s">
        <v>45</v>
      </c>
      <c r="B72" t="s">
        <v>25</v>
      </c>
      <c r="C72">
        <v>48030502.5</v>
      </c>
    </row>
    <row r="73" spans="1:3" x14ac:dyDescent="0.3">
      <c r="A73" t="s">
        <v>52</v>
      </c>
      <c r="B73" t="s">
        <v>19</v>
      </c>
      <c r="C73">
        <v>5267600</v>
      </c>
    </row>
    <row r="74" spans="1:3" x14ac:dyDescent="0.3">
      <c r="A74" t="s">
        <v>42</v>
      </c>
      <c r="B74" t="s">
        <v>29</v>
      </c>
      <c r="C74">
        <v>3196700</v>
      </c>
    </row>
    <row r="75" spans="1:3" x14ac:dyDescent="0.3">
      <c r="A75" t="s">
        <v>49</v>
      </c>
      <c r="B75" t="s">
        <v>25</v>
      </c>
      <c r="C75">
        <v>10264750</v>
      </c>
    </row>
    <row r="76" spans="1:3" x14ac:dyDescent="0.3">
      <c r="A76" t="s">
        <v>53</v>
      </c>
      <c r="B76" t="s">
        <v>30</v>
      </c>
      <c r="C76">
        <v>48288200</v>
      </c>
    </row>
    <row r="77" spans="1:3" x14ac:dyDescent="0.3">
      <c r="A77" t="s">
        <v>50</v>
      </c>
      <c r="B77" t="s">
        <v>33</v>
      </c>
      <c r="C77">
        <v>373718.88</v>
      </c>
    </row>
    <row r="78" spans="1:3" x14ac:dyDescent="0.3">
      <c r="A78" t="s">
        <v>42</v>
      </c>
      <c r="B78" t="s">
        <v>28</v>
      </c>
      <c r="C78">
        <v>32521300</v>
      </c>
    </row>
    <row r="79" spans="1:3" x14ac:dyDescent="0.3">
      <c r="A79" t="s">
        <v>48</v>
      </c>
      <c r="B79" t="s">
        <v>21</v>
      </c>
      <c r="C79">
        <v>6935950</v>
      </c>
    </row>
    <row r="80" spans="1:3" x14ac:dyDescent="0.3">
      <c r="A80" t="s">
        <v>40</v>
      </c>
      <c r="B80" t="s">
        <v>22</v>
      </c>
      <c r="C80">
        <v>29962990</v>
      </c>
    </row>
    <row r="81" spans="1:3" x14ac:dyDescent="0.3">
      <c r="A81" t="s">
        <v>51</v>
      </c>
      <c r="B81" t="s">
        <v>22</v>
      </c>
      <c r="C81">
        <v>16849000</v>
      </c>
    </row>
    <row r="82" spans="1:3" x14ac:dyDescent="0.3">
      <c r="A82" t="s">
        <v>44</v>
      </c>
      <c r="B82" t="s">
        <v>32</v>
      </c>
      <c r="C82">
        <v>2694150</v>
      </c>
    </row>
    <row r="83" spans="1:3" x14ac:dyDescent="0.3">
      <c r="A83" t="s">
        <v>42</v>
      </c>
      <c r="B83" t="s">
        <v>22</v>
      </c>
      <c r="C83">
        <v>1878785</v>
      </c>
    </row>
    <row r="84" spans="1:3" x14ac:dyDescent="0.3">
      <c r="A84" t="s">
        <v>42</v>
      </c>
      <c r="B84" t="s">
        <v>25</v>
      </c>
      <c r="C84">
        <v>767750</v>
      </c>
    </row>
    <row r="85" spans="1:3" x14ac:dyDescent="0.3">
      <c r="A85" t="s">
        <v>48</v>
      </c>
      <c r="B85" t="s">
        <v>26</v>
      </c>
      <c r="C85">
        <v>27551480</v>
      </c>
    </row>
    <row r="86" spans="1:3" x14ac:dyDescent="0.3">
      <c r="A86" t="s">
        <v>45</v>
      </c>
      <c r="B86" t="s">
        <v>31</v>
      </c>
      <c r="C86">
        <v>25326000</v>
      </c>
    </row>
    <row r="87" spans="1:3" x14ac:dyDescent="0.3">
      <c r="A87" t="s">
        <v>53</v>
      </c>
      <c r="B87" t="s">
        <v>32</v>
      </c>
      <c r="C87">
        <v>9092000</v>
      </c>
    </row>
    <row r="88" spans="1:3" x14ac:dyDescent="0.3">
      <c r="A88" t="s">
        <v>43</v>
      </c>
      <c r="B88" t="s">
        <v>31</v>
      </c>
      <c r="C88">
        <v>9504400</v>
      </c>
    </row>
    <row r="89" spans="1:3" x14ac:dyDescent="0.3">
      <c r="A89" t="s">
        <v>53</v>
      </c>
      <c r="B89" t="s">
        <v>22</v>
      </c>
      <c r="C89">
        <v>41449880</v>
      </c>
    </row>
    <row r="90" spans="1:3" x14ac:dyDescent="0.3">
      <c r="A90" t="s">
        <v>41</v>
      </c>
      <c r="B90" t="s">
        <v>27</v>
      </c>
      <c r="C90">
        <v>8050750</v>
      </c>
    </row>
    <row r="91" spans="1:3" x14ac:dyDescent="0.3">
      <c r="A91" t="s">
        <v>51</v>
      </c>
      <c r="B91" t="s">
        <v>32</v>
      </c>
      <c r="C91">
        <v>7483200</v>
      </c>
    </row>
    <row r="92" spans="1:3" x14ac:dyDescent="0.3">
      <c r="A92" t="s">
        <v>40</v>
      </c>
      <c r="B92" t="s">
        <v>23</v>
      </c>
      <c r="C92">
        <v>13962410</v>
      </c>
    </row>
    <row r="93" spans="1:3" x14ac:dyDescent="0.3">
      <c r="A93" t="s">
        <v>41</v>
      </c>
      <c r="B93" t="s">
        <v>29</v>
      </c>
      <c r="C93">
        <v>23491539.780000001</v>
      </c>
    </row>
    <row r="94" spans="1:3" x14ac:dyDescent="0.3">
      <c r="A94" t="s">
        <v>44</v>
      </c>
      <c r="B94" t="s">
        <v>22</v>
      </c>
      <c r="C94">
        <v>15615605</v>
      </c>
    </row>
    <row r="95" spans="1:3" x14ac:dyDescent="0.3">
      <c r="A95" t="s">
        <v>42</v>
      </c>
      <c r="B95" t="s">
        <v>30</v>
      </c>
      <c r="C95">
        <v>17994100</v>
      </c>
    </row>
    <row r="96" spans="1:3" x14ac:dyDescent="0.3">
      <c r="A96" t="s">
        <v>50</v>
      </c>
      <c r="B96" t="s">
        <v>26</v>
      </c>
      <c r="C96">
        <v>15158045</v>
      </c>
    </row>
    <row r="97" spans="1:3" x14ac:dyDescent="0.3">
      <c r="A97" t="s">
        <v>42</v>
      </c>
      <c r="B97" t="s">
        <v>32</v>
      </c>
      <c r="C97">
        <v>6074200</v>
      </c>
    </row>
    <row r="98" spans="1:3" x14ac:dyDescent="0.3">
      <c r="A98" t="s">
        <v>48</v>
      </c>
      <c r="B98" t="s">
        <v>27</v>
      </c>
      <c r="C98">
        <v>28264988</v>
      </c>
    </row>
    <row r="99" spans="1:3" x14ac:dyDescent="0.3">
      <c r="A99" t="s">
        <v>41</v>
      </c>
      <c r="B99" t="s">
        <v>23</v>
      </c>
      <c r="C99">
        <v>6319500</v>
      </c>
    </row>
    <row r="100" spans="1:3" x14ac:dyDescent="0.3">
      <c r="A100" t="s">
        <v>46</v>
      </c>
      <c r="B100" t="s">
        <v>20</v>
      </c>
      <c r="C100">
        <v>2004400</v>
      </c>
    </row>
    <row r="101" spans="1:3" x14ac:dyDescent="0.3">
      <c r="A101" t="s">
        <v>49</v>
      </c>
      <c r="B101" t="s">
        <v>30</v>
      </c>
      <c r="C101">
        <v>6731490</v>
      </c>
    </row>
    <row r="102" spans="1:3" x14ac:dyDescent="0.3">
      <c r="A102" t="s">
        <v>46</v>
      </c>
      <c r="B102" t="s">
        <v>31</v>
      </c>
      <c r="C102">
        <v>26352450</v>
      </c>
    </row>
    <row r="103" spans="1:3" x14ac:dyDescent="0.3">
      <c r="A103" t="s">
        <v>47</v>
      </c>
      <c r="B103" t="s">
        <v>24</v>
      </c>
      <c r="C103">
        <v>2717450</v>
      </c>
    </row>
    <row r="104" spans="1:3" x14ac:dyDescent="0.3">
      <c r="A104" t="s">
        <v>53</v>
      </c>
      <c r="B104" t="s">
        <v>27</v>
      </c>
      <c r="C104">
        <v>32870511</v>
      </c>
    </row>
    <row r="105" spans="1:3" x14ac:dyDescent="0.3">
      <c r="A105" t="s">
        <v>50</v>
      </c>
      <c r="B105" t="s">
        <v>20</v>
      </c>
      <c r="C105">
        <v>772000</v>
      </c>
    </row>
    <row r="106" spans="1:3" x14ac:dyDescent="0.3">
      <c r="A106" t="s">
        <v>50</v>
      </c>
      <c r="B106" t="s">
        <v>21</v>
      </c>
      <c r="C106">
        <v>22244450</v>
      </c>
    </row>
    <row r="107" spans="1:3" x14ac:dyDescent="0.3">
      <c r="A107" t="s">
        <v>50</v>
      </c>
      <c r="B107" t="s">
        <v>25</v>
      </c>
      <c r="C107">
        <v>19879126</v>
      </c>
    </row>
    <row r="108" spans="1:3" x14ac:dyDescent="0.3">
      <c r="A108" t="s">
        <v>46</v>
      </c>
      <c r="B108" t="s">
        <v>19</v>
      </c>
      <c r="C108">
        <v>4656100</v>
      </c>
    </row>
    <row r="109" spans="1:3" x14ac:dyDescent="0.3">
      <c r="A109" t="s">
        <v>43</v>
      </c>
      <c r="B109" t="s">
        <v>22</v>
      </c>
      <c r="C109">
        <v>3510515</v>
      </c>
    </row>
    <row r="110" spans="1:3" x14ac:dyDescent="0.3">
      <c r="A110" t="s">
        <v>43</v>
      </c>
      <c r="B110" t="s">
        <v>32</v>
      </c>
      <c r="C110">
        <v>3185950</v>
      </c>
    </row>
    <row r="111" spans="1:3" x14ac:dyDescent="0.3">
      <c r="A111" t="s">
        <v>49</v>
      </c>
      <c r="B111" t="s">
        <v>24</v>
      </c>
      <c r="C111">
        <v>497065</v>
      </c>
    </row>
    <row r="112" spans="1:3" x14ac:dyDescent="0.3">
      <c r="A112" t="s">
        <v>51</v>
      </c>
      <c r="B112" t="s">
        <v>26</v>
      </c>
      <c r="C112">
        <v>12674575</v>
      </c>
    </row>
    <row r="113" spans="1:3" x14ac:dyDescent="0.3">
      <c r="A113" t="s">
        <v>52</v>
      </c>
      <c r="B113" t="s">
        <v>25</v>
      </c>
      <c r="C113">
        <v>27581319</v>
      </c>
    </row>
    <row r="114" spans="1:3" x14ac:dyDescent="0.3">
      <c r="A114" t="s">
        <v>49</v>
      </c>
      <c r="B114" t="s">
        <v>33</v>
      </c>
      <c r="C114">
        <v>5664929.8300000001</v>
      </c>
    </row>
    <row r="115" spans="1:3" x14ac:dyDescent="0.3">
      <c r="A115" t="s">
        <v>41</v>
      </c>
      <c r="B115" t="s">
        <v>25</v>
      </c>
      <c r="C115">
        <v>20875318</v>
      </c>
    </row>
    <row r="116" spans="1:3" x14ac:dyDescent="0.3">
      <c r="A116" t="s">
        <v>52</v>
      </c>
      <c r="B116" t="s">
        <v>20</v>
      </c>
      <c r="C116">
        <v>9640650</v>
      </c>
    </row>
    <row r="117" spans="1:3" x14ac:dyDescent="0.3">
      <c r="A117" t="s">
        <v>50</v>
      </c>
      <c r="B117" t="s">
        <v>29</v>
      </c>
      <c r="C117">
        <v>8860630.1199999992</v>
      </c>
    </row>
    <row r="118" spans="1:3" x14ac:dyDescent="0.3">
      <c r="A118" t="s">
        <v>45</v>
      </c>
      <c r="B118" t="s">
        <v>20</v>
      </c>
      <c r="C118">
        <v>1556950</v>
      </c>
    </row>
    <row r="119" spans="1:3" x14ac:dyDescent="0.3">
      <c r="A119" t="s">
        <v>44</v>
      </c>
      <c r="B119" t="s">
        <v>24</v>
      </c>
      <c r="C119">
        <v>16582980</v>
      </c>
    </row>
    <row r="120" spans="1:3" x14ac:dyDescent="0.3">
      <c r="A120" t="s">
        <v>51</v>
      </c>
      <c r="B120" t="s">
        <v>19</v>
      </c>
      <c r="C120">
        <v>424600</v>
      </c>
    </row>
    <row r="121" spans="1:3" x14ac:dyDescent="0.3">
      <c r="A121" t="s">
        <v>45</v>
      </c>
      <c r="B121" t="s">
        <v>30</v>
      </c>
      <c r="C121">
        <v>12586300</v>
      </c>
    </row>
    <row r="122" spans="1:3" x14ac:dyDescent="0.3">
      <c r="A122" t="s">
        <v>53</v>
      </c>
      <c r="B122" t="s">
        <v>31</v>
      </c>
      <c r="C122">
        <v>68197750</v>
      </c>
    </row>
    <row r="123" spans="1:3" x14ac:dyDescent="0.3">
      <c r="A123" t="s">
        <v>41</v>
      </c>
      <c r="B123" t="s">
        <v>22</v>
      </c>
      <c r="C123">
        <v>7484300</v>
      </c>
    </row>
    <row r="124" spans="1:3" x14ac:dyDescent="0.3">
      <c r="A124" t="s">
        <v>48</v>
      </c>
      <c r="B124" t="s">
        <v>20</v>
      </c>
      <c r="C124">
        <v>27349915</v>
      </c>
    </row>
    <row r="125" spans="1:3" x14ac:dyDescent="0.3">
      <c r="A125" t="s">
        <v>43</v>
      </c>
      <c r="B125" t="s">
        <v>29</v>
      </c>
      <c r="C125">
        <v>12812377.720000001</v>
      </c>
    </row>
    <row r="126" spans="1:3" x14ac:dyDescent="0.3">
      <c r="A126" t="s">
        <v>47</v>
      </c>
      <c r="B126" t="s">
        <v>28</v>
      </c>
      <c r="C126">
        <v>19139200</v>
      </c>
    </row>
    <row r="127" spans="1:3" x14ac:dyDescent="0.3">
      <c r="A127" t="s">
        <v>46</v>
      </c>
      <c r="B127" t="s">
        <v>28</v>
      </c>
      <c r="C127">
        <v>65471800</v>
      </c>
    </row>
    <row r="128" spans="1:3" x14ac:dyDescent="0.3">
      <c r="A128" t="s">
        <v>41</v>
      </c>
      <c r="B128" t="s">
        <v>19</v>
      </c>
      <c r="C128">
        <v>3841000</v>
      </c>
    </row>
    <row r="129" spans="1:3" x14ac:dyDescent="0.3">
      <c r="A129" t="s">
        <v>40</v>
      </c>
      <c r="B129" t="s">
        <v>29</v>
      </c>
      <c r="C129">
        <v>13625270.970000001</v>
      </c>
    </row>
    <row r="130" spans="1:3" x14ac:dyDescent="0.3">
      <c r="A130" t="s">
        <v>48</v>
      </c>
      <c r="B130" t="s">
        <v>29</v>
      </c>
      <c r="C130">
        <v>16700634.09</v>
      </c>
    </row>
    <row r="131" spans="1:3" x14ac:dyDescent="0.3">
      <c r="A131" t="s">
        <v>41</v>
      </c>
      <c r="B131" t="s">
        <v>31</v>
      </c>
      <c r="C131">
        <v>20577300</v>
      </c>
    </row>
    <row r="132" spans="1:3" x14ac:dyDescent="0.3">
      <c r="A132" t="s">
        <v>47</v>
      </c>
      <c r="B132" t="s">
        <v>30</v>
      </c>
      <c r="C132">
        <v>9599590</v>
      </c>
    </row>
    <row r="133" spans="1:3" x14ac:dyDescent="0.3">
      <c r="A133" t="s">
        <v>53</v>
      </c>
      <c r="B133" t="s">
        <v>29</v>
      </c>
      <c r="C133">
        <v>14149843.23</v>
      </c>
    </row>
    <row r="134" spans="1:3" x14ac:dyDescent="0.3">
      <c r="A134" t="s">
        <v>46</v>
      </c>
      <c r="B134" t="s">
        <v>33</v>
      </c>
      <c r="C134">
        <v>-1264668.31</v>
      </c>
    </row>
    <row r="135" spans="1:3" x14ac:dyDescent="0.3">
      <c r="A135" t="s">
        <v>46</v>
      </c>
      <c r="B135" t="s">
        <v>26</v>
      </c>
      <c r="C135">
        <v>4819810</v>
      </c>
    </row>
    <row r="136" spans="1:3" x14ac:dyDescent="0.3">
      <c r="A136" t="s">
        <v>48</v>
      </c>
      <c r="B136" t="s">
        <v>28</v>
      </c>
      <c r="C136">
        <v>29726300</v>
      </c>
    </row>
    <row r="137" spans="1:3" x14ac:dyDescent="0.3">
      <c r="A137" t="s">
        <v>49</v>
      </c>
      <c r="B137" t="s">
        <v>29</v>
      </c>
      <c r="C137">
        <v>6885446.1699999999</v>
      </c>
    </row>
    <row r="138" spans="1:3" x14ac:dyDescent="0.3">
      <c r="A138" t="s">
        <v>50</v>
      </c>
      <c r="B138" t="s">
        <v>22</v>
      </c>
      <c r="C138">
        <v>14958030</v>
      </c>
    </row>
    <row r="139" spans="1:3" x14ac:dyDescent="0.3">
      <c r="A139" t="s">
        <v>53</v>
      </c>
      <c r="B139" t="s">
        <v>23</v>
      </c>
      <c r="C139">
        <v>11776510</v>
      </c>
    </row>
    <row r="140" spans="1:3" x14ac:dyDescent="0.3">
      <c r="A140" t="s">
        <v>43</v>
      </c>
      <c r="B140" t="s">
        <v>30</v>
      </c>
      <c r="C140">
        <v>11116000</v>
      </c>
    </row>
    <row r="141" spans="1:3" x14ac:dyDescent="0.3">
      <c r="A141" t="s">
        <v>48</v>
      </c>
      <c r="B141" t="s">
        <v>33</v>
      </c>
      <c r="C141">
        <v>-484048.09</v>
      </c>
    </row>
    <row r="142" spans="1:3" x14ac:dyDescent="0.3">
      <c r="A142" t="s">
        <v>48</v>
      </c>
      <c r="B142" t="s">
        <v>24</v>
      </c>
      <c r="C142">
        <v>9287325</v>
      </c>
    </row>
    <row r="143" spans="1:3" x14ac:dyDescent="0.3">
      <c r="A143" t="s">
        <v>46</v>
      </c>
      <c r="B143" t="s">
        <v>30</v>
      </c>
      <c r="C143">
        <v>14568200</v>
      </c>
    </row>
    <row r="144" spans="1:3" x14ac:dyDescent="0.3">
      <c r="A144" t="s">
        <v>53</v>
      </c>
      <c r="B144" t="s">
        <v>19</v>
      </c>
      <c r="C144">
        <v>3415800</v>
      </c>
    </row>
    <row r="145" spans="1:3" x14ac:dyDescent="0.3">
      <c r="A145" t="s">
        <v>47</v>
      </c>
      <c r="B145" t="s">
        <v>20</v>
      </c>
      <c r="C145">
        <v>21507300</v>
      </c>
    </row>
    <row r="146" spans="1:3" x14ac:dyDescent="0.3">
      <c r="A146" t="s">
        <v>48</v>
      </c>
      <c r="B146" t="s">
        <v>30</v>
      </c>
      <c r="C146">
        <v>23053380</v>
      </c>
    </row>
    <row r="147" spans="1:3" x14ac:dyDescent="0.3">
      <c r="A147" t="s">
        <v>40</v>
      </c>
      <c r="B147" t="s">
        <v>28</v>
      </c>
      <c r="C147">
        <v>43059600</v>
      </c>
    </row>
    <row r="148" spans="1:3" x14ac:dyDescent="0.3">
      <c r="A148" t="s">
        <v>46</v>
      </c>
      <c r="B148" t="s">
        <v>23</v>
      </c>
      <c r="C148">
        <v>8327050</v>
      </c>
    </row>
    <row r="149" spans="1:3" x14ac:dyDescent="0.3">
      <c r="A149" t="s">
        <v>45</v>
      </c>
      <c r="B149" t="s">
        <v>33</v>
      </c>
      <c r="C149">
        <v>-395563.65</v>
      </c>
    </row>
    <row r="150" spans="1:3" x14ac:dyDescent="0.3">
      <c r="A150" t="s">
        <v>52</v>
      </c>
      <c r="B150" t="s">
        <v>23</v>
      </c>
      <c r="C150">
        <v>6799300</v>
      </c>
    </row>
    <row r="151" spans="1:3" x14ac:dyDescent="0.3">
      <c r="A151" t="s">
        <v>52</v>
      </c>
      <c r="B151" t="s">
        <v>29</v>
      </c>
      <c r="C151">
        <v>13664642.92</v>
      </c>
    </row>
    <row r="152" spans="1:3" x14ac:dyDescent="0.3">
      <c r="A152" t="s">
        <v>47</v>
      </c>
      <c r="B152" t="s">
        <v>33</v>
      </c>
      <c r="C152">
        <v>138471.62</v>
      </c>
    </row>
    <row r="153" spans="1:3" x14ac:dyDescent="0.3">
      <c r="A153" t="s">
        <v>46</v>
      </c>
      <c r="B153" t="s">
        <v>25</v>
      </c>
      <c r="C153">
        <v>15943638</v>
      </c>
    </row>
    <row r="154" spans="1:3" x14ac:dyDescent="0.3">
      <c r="A154" t="s">
        <v>47</v>
      </c>
      <c r="B154" t="s">
        <v>21</v>
      </c>
      <c r="C154">
        <v>13153700</v>
      </c>
    </row>
    <row r="155" spans="1:3" x14ac:dyDescent="0.3">
      <c r="A155" t="s">
        <v>48</v>
      </c>
      <c r="B155" t="s">
        <v>19</v>
      </c>
      <c r="C155">
        <v>7423000</v>
      </c>
    </row>
    <row r="156" spans="1:3" x14ac:dyDescent="0.3">
      <c r="A156" t="s">
        <v>43</v>
      </c>
      <c r="B156" t="s">
        <v>21</v>
      </c>
      <c r="C156">
        <v>9088450</v>
      </c>
    </row>
    <row r="157" spans="1:3" x14ac:dyDescent="0.3">
      <c r="A157" t="s">
        <v>40</v>
      </c>
      <c r="B157" t="s">
        <v>21</v>
      </c>
      <c r="C157">
        <v>9983820</v>
      </c>
    </row>
    <row r="158" spans="1:3" x14ac:dyDescent="0.3">
      <c r="A158" t="s">
        <v>51</v>
      </c>
      <c r="B158" t="s">
        <v>20</v>
      </c>
      <c r="C158">
        <v>1400</v>
      </c>
    </row>
    <row r="159" spans="1:3" x14ac:dyDescent="0.3">
      <c r="A159" t="s">
        <v>42</v>
      </c>
      <c r="B159" t="s">
        <v>31</v>
      </c>
      <c r="C159">
        <v>15701750</v>
      </c>
    </row>
    <row r="160" spans="1:3" x14ac:dyDescent="0.3">
      <c r="A160" t="s">
        <v>47</v>
      </c>
      <c r="B160" t="s">
        <v>32</v>
      </c>
      <c r="C160">
        <v>530700</v>
      </c>
    </row>
    <row r="161" spans="1:3" x14ac:dyDescent="0.3">
      <c r="A161" t="s">
        <v>50</v>
      </c>
      <c r="B161" t="s">
        <v>30</v>
      </c>
      <c r="C161">
        <v>15193440</v>
      </c>
    </row>
    <row r="162" spans="1:3" x14ac:dyDescent="0.3">
      <c r="A162" t="s">
        <v>47</v>
      </c>
      <c r="B162" t="s">
        <v>29</v>
      </c>
      <c r="C162">
        <v>7649932.3799999999</v>
      </c>
    </row>
    <row r="163" spans="1:3" x14ac:dyDescent="0.3">
      <c r="A163" t="s">
        <v>44</v>
      </c>
      <c r="B163" t="s">
        <v>20</v>
      </c>
      <c r="C163">
        <v>50295750</v>
      </c>
    </row>
    <row r="164" spans="1:3" x14ac:dyDescent="0.3">
      <c r="A164" t="s">
        <v>44</v>
      </c>
      <c r="B164" t="s">
        <v>25</v>
      </c>
      <c r="C164">
        <v>49285012</v>
      </c>
    </row>
    <row r="165" spans="1:3" x14ac:dyDescent="0.3">
      <c r="A165" t="s">
        <v>47</v>
      </c>
      <c r="B165" t="s">
        <v>19</v>
      </c>
      <c r="C165">
        <v>1801000</v>
      </c>
    </row>
    <row r="166" spans="1:3" x14ac:dyDescent="0.3">
      <c r="A166" t="s">
        <v>51</v>
      </c>
      <c r="B166" t="s">
        <v>31</v>
      </c>
      <c r="C166">
        <v>6270500</v>
      </c>
    </row>
    <row r="167" spans="1:3" x14ac:dyDescent="0.3">
      <c r="A167" t="s">
        <v>46</v>
      </c>
      <c r="B167" t="s">
        <v>32</v>
      </c>
      <c r="C167">
        <v>2151550</v>
      </c>
    </row>
    <row r="168" spans="1:3" x14ac:dyDescent="0.3">
      <c r="A168" t="s">
        <v>52</v>
      </c>
      <c r="B168" t="s">
        <v>33</v>
      </c>
      <c r="C168">
        <v>-331837.92</v>
      </c>
    </row>
    <row r="169" spans="1:3" x14ac:dyDescent="0.3">
      <c r="A169" t="s">
        <v>51</v>
      </c>
      <c r="B169" t="s">
        <v>21</v>
      </c>
      <c r="C169">
        <v>13624200</v>
      </c>
    </row>
    <row r="170" spans="1:3" x14ac:dyDescent="0.3">
      <c r="A170" t="s">
        <v>52</v>
      </c>
      <c r="B170" t="s">
        <v>21</v>
      </c>
      <c r="C170">
        <v>12170740</v>
      </c>
    </row>
    <row r="171" spans="1:3" x14ac:dyDescent="0.3">
      <c r="A171" t="s">
        <v>42</v>
      </c>
      <c r="B171" t="s">
        <v>26</v>
      </c>
      <c r="C171">
        <v>411950</v>
      </c>
    </row>
    <row r="172" spans="1:3" x14ac:dyDescent="0.3">
      <c r="A172" t="s">
        <v>49</v>
      </c>
      <c r="B172" t="s">
        <v>19</v>
      </c>
      <c r="C172">
        <v>2515000</v>
      </c>
    </row>
    <row r="173" spans="1:3" x14ac:dyDescent="0.3">
      <c r="A173" t="s">
        <v>46</v>
      </c>
      <c r="B173" t="s">
        <v>21</v>
      </c>
      <c r="C173">
        <v>6202650</v>
      </c>
    </row>
    <row r="174" spans="1:3" x14ac:dyDescent="0.3">
      <c r="A174" t="s">
        <v>44</v>
      </c>
      <c r="B174" t="s">
        <v>31</v>
      </c>
      <c r="C174">
        <v>26555000</v>
      </c>
    </row>
    <row r="175" spans="1:3" x14ac:dyDescent="0.3">
      <c r="A175" t="s">
        <v>45</v>
      </c>
      <c r="B175" t="s">
        <v>27</v>
      </c>
      <c r="C175">
        <v>4195676</v>
      </c>
    </row>
    <row r="176" spans="1:3" x14ac:dyDescent="0.3">
      <c r="A176" t="s">
        <v>45</v>
      </c>
      <c r="B176" t="s">
        <v>28</v>
      </c>
      <c r="C176">
        <v>5496100</v>
      </c>
    </row>
    <row r="177" spans="1:3" x14ac:dyDescent="0.3">
      <c r="A177" t="s">
        <v>48</v>
      </c>
      <c r="B177" t="s">
        <v>32</v>
      </c>
      <c r="C177">
        <v>4333950</v>
      </c>
    </row>
    <row r="178" spans="1:3" x14ac:dyDescent="0.3">
      <c r="A178" t="s">
        <v>50</v>
      </c>
      <c r="B178" t="s">
        <v>28</v>
      </c>
      <c r="C178">
        <v>12488500</v>
      </c>
    </row>
    <row r="179" spans="1:3" x14ac:dyDescent="0.3">
      <c r="A179" t="s">
        <v>40</v>
      </c>
      <c r="B179" t="s">
        <v>20</v>
      </c>
      <c r="C179">
        <v>1662400</v>
      </c>
    </row>
    <row r="180" spans="1:3" x14ac:dyDescent="0.3">
      <c r="A180" t="s">
        <v>45</v>
      </c>
      <c r="B180" t="s">
        <v>29</v>
      </c>
      <c r="C180">
        <v>14651249.15</v>
      </c>
    </row>
    <row r="181" spans="1:3" x14ac:dyDescent="0.3">
      <c r="A181" t="s">
        <v>50</v>
      </c>
      <c r="B181" t="s">
        <v>31</v>
      </c>
      <c r="C181">
        <v>22664500</v>
      </c>
    </row>
    <row r="182" spans="1:3" x14ac:dyDescent="0.3">
      <c r="A182" t="s">
        <v>42</v>
      </c>
      <c r="B182" t="s">
        <v>23</v>
      </c>
      <c r="C182">
        <v>2202050</v>
      </c>
    </row>
    <row r="183" spans="1:3" x14ac:dyDescent="0.3">
      <c r="A183" t="s">
        <v>51</v>
      </c>
      <c r="B183" t="s">
        <v>23</v>
      </c>
      <c r="C183">
        <v>12515591</v>
      </c>
    </row>
    <row r="184" spans="1:3" x14ac:dyDescent="0.3">
      <c r="A184" t="s">
        <v>52</v>
      </c>
      <c r="B184" t="s">
        <v>28</v>
      </c>
      <c r="C184">
        <v>36962700</v>
      </c>
    </row>
    <row r="185" spans="1:3" x14ac:dyDescent="0.3">
      <c r="A185" t="s">
        <v>53</v>
      </c>
      <c r="B185" t="s">
        <v>26</v>
      </c>
      <c r="C185">
        <v>9987225</v>
      </c>
    </row>
    <row r="186" spans="1:3" x14ac:dyDescent="0.3">
      <c r="A186" t="s">
        <v>52</v>
      </c>
      <c r="B186" t="s">
        <v>31</v>
      </c>
      <c r="C186">
        <v>23291910</v>
      </c>
    </row>
    <row r="187" spans="1:3" x14ac:dyDescent="0.3">
      <c r="A187" t="s">
        <v>44</v>
      </c>
      <c r="B187" t="s">
        <v>19</v>
      </c>
      <c r="C187">
        <v>3455850</v>
      </c>
    </row>
    <row r="188" spans="1:3" x14ac:dyDescent="0.3">
      <c r="A188" t="s">
        <v>52</v>
      </c>
      <c r="B188" t="s">
        <v>22</v>
      </c>
      <c r="C188">
        <v>6249865</v>
      </c>
    </row>
    <row r="189" spans="1:3" x14ac:dyDescent="0.3">
      <c r="A189" t="s">
        <v>51</v>
      </c>
      <c r="B189" t="s">
        <v>27</v>
      </c>
      <c r="C189">
        <v>9205505</v>
      </c>
    </row>
    <row r="190" spans="1:3" x14ac:dyDescent="0.3">
      <c r="A190" t="s">
        <v>43</v>
      </c>
      <c r="B190" t="s">
        <v>33</v>
      </c>
      <c r="C190">
        <v>-296795.71999999997</v>
      </c>
    </row>
    <row r="191" spans="1:3" x14ac:dyDescent="0.3">
      <c r="A191" t="s">
        <v>45</v>
      </c>
      <c r="B191" t="s">
        <v>32</v>
      </c>
      <c r="C191">
        <v>4885600</v>
      </c>
    </row>
    <row r="192" spans="1:3" x14ac:dyDescent="0.3">
      <c r="A192" t="s">
        <v>51</v>
      </c>
      <c r="B192" t="s">
        <v>24</v>
      </c>
      <c r="C192">
        <v>12707025</v>
      </c>
    </row>
    <row r="193" spans="1:3" x14ac:dyDescent="0.3">
      <c r="A193" t="s">
        <v>49</v>
      </c>
      <c r="B193" t="s">
        <v>20</v>
      </c>
      <c r="C193">
        <v>1012800</v>
      </c>
    </row>
    <row r="194" spans="1:3" x14ac:dyDescent="0.3">
      <c r="A194" t="s">
        <v>47</v>
      </c>
      <c r="B194" t="s">
        <v>31</v>
      </c>
      <c r="C194">
        <v>10728000</v>
      </c>
    </row>
    <row r="195" spans="1:3" x14ac:dyDescent="0.3">
      <c r="A195" t="s">
        <v>52</v>
      </c>
      <c r="B195" t="s">
        <v>30</v>
      </c>
      <c r="C195">
        <v>25133760</v>
      </c>
    </row>
    <row r="196" spans="1:3" x14ac:dyDescent="0.3">
      <c r="A196" t="s">
        <v>45</v>
      </c>
      <c r="B196" t="s">
        <v>21</v>
      </c>
      <c r="C196">
        <v>36489876</v>
      </c>
    </row>
    <row r="197" spans="1:3" x14ac:dyDescent="0.3">
      <c r="A197" t="s">
        <v>53</v>
      </c>
      <c r="B197" t="s">
        <v>21</v>
      </c>
      <c r="C197">
        <v>14064320</v>
      </c>
    </row>
    <row r="198" spans="1:3" x14ac:dyDescent="0.3">
      <c r="A198" t="s">
        <v>47</v>
      </c>
      <c r="B198" t="s">
        <v>26</v>
      </c>
      <c r="C198">
        <v>6658630</v>
      </c>
    </row>
    <row r="199" spans="1:3" x14ac:dyDescent="0.3">
      <c r="A199" t="s">
        <v>40</v>
      </c>
      <c r="B199" t="s">
        <v>24</v>
      </c>
      <c r="C199">
        <v>14086930</v>
      </c>
    </row>
    <row r="200" spans="1:3" x14ac:dyDescent="0.3">
      <c r="A200" t="s">
        <v>48</v>
      </c>
      <c r="B200" t="s">
        <v>23</v>
      </c>
      <c r="C200">
        <v>25071100</v>
      </c>
    </row>
    <row r="201" spans="1:3" x14ac:dyDescent="0.3">
      <c r="A201" t="s">
        <v>43</v>
      </c>
      <c r="B201" t="s">
        <v>27</v>
      </c>
      <c r="C201">
        <v>18704806</v>
      </c>
    </row>
    <row r="202" spans="1:3" x14ac:dyDescent="0.3">
      <c r="A202" t="s">
        <v>41</v>
      </c>
      <c r="B202" t="s">
        <v>24</v>
      </c>
      <c r="C202">
        <v>9570925</v>
      </c>
    </row>
    <row r="203" spans="1:3" x14ac:dyDescent="0.3">
      <c r="A203" t="s">
        <v>51</v>
      </c>
      <c r="B203" t="s">
        <v>29</v>
      </c>
      <c r="C203">
        <v>19774054.710000001</v>
      </c>
    </row>
    <row r="204" spans="1:3" x14ac:dyDescent="0.3">
      <c r="A204" t="s">
        <v>52</v>
      </c>
      <c r="B204" t="s">
        <v>32</v>
      </c>
      <c r="C204">
        <v>2591100</v>
      </c>
    </row>
    <row r="205" spans="1:3" x14ac:dyDescent="0.3">
      <c r="A205" t="s">
        <v>43</v>
      </c>
      <c r="B205" t="s">
        <v>28</v>
      </c>
      <c r="C205">
        <v>23649700</v>
      </c>
    </row>
    <row r="206" spans="1:3" x14ac:dyDescent="0.3">
      <c r="A206" t="s">
        <v>53</v>
      </c>
      <c r="B206" t="s">
        <v>25</v>
      </c>
      <c r="C206">
        <v>52275092</v>
      </c>
    </row>
    <row r="207" spans="1:3" x14ac:dyDescent="0.3">
      <c r="A207" t="s">
        <v>42</v>
      </c>
      <c r="B207" t="s">
        <v>27</v>
      </c>
      <c r="C207">
        <v>23579398.199999999</v>
      </c>
    </row>
    <row r="208" spans="1:3" x14ac:dyDescent="0.3">
      <c r="A208" t="s">
        <v>46</v>
      </c>
      <c r="B208" t="s">
        <v>24</v>
      </c>
      <c r="C208">
        <v>11854020</v>
      </c>
    </row>
    <row r="209" spans="1:3" x14ac:dyDescent="0.3">
      <c r="A209" t="s">
        <v>49</v>
      </c>
      <c r="B209" t="s">
        <v>27</v>
      </c>
      <c r="C209">
        <v>4655690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68448-C22A-4EA7-90B9-30341021BA79}">
  <dimension ref="A3:Q21"/>
  <sheetViews>
    <sheetView workbookViewId="0">
      <selection activeCell="B19" sqref="B19"/>
    </sheetView>
  </sheetViews>
  <sheetFormatPr defaultRowHeight="14.4" x14ac:dyDescent="0.3"/>
  <cols>
    <col min="1" max="1" width="27.88671875" bestFit="1" customWidth="1"/>
    <col min="2" max="2" width="15.5546875" bestFit="1" customWidth="1"/>
    <col min="3" max="11" width="12.44140625" bestFit="1" customWidth="1"/>
    <col min="12" max="12" width="11.44140625" bestFit="1" customWidth="1"/>
    <col min="13" max="14" width="12.44140625" bestFit="1" customWidth="1"/>
    <col min="15" max="15" width="11.44140625" bestFit="1" customWidth="1"/>
    <col min="16" max="16" width="7.88671875" bestFit="1" customWidth="1"/>
    <col min="17" max="17" width="14.109375" bestFit="1" customWidth="1"/>
  </cols>
  <sheetData>
    <row r="3" spans="1:17" x14ac:dyDescent="0.3">
      <c r="A3" s="26" t="s">
        <v>55</v>
      </c>
      <c r="B3" s="26" t="s">
        <v>56</v>
      </c>
    </row>
    <row r="4" spans="1:17" x14ac:dyDescent="0.3">
      <c r="A4" s="26" t="s">
        <v>54</v>
      </c>
      <c r="B4" t="s">
        <v>40</v>
      </c>
      <c r="C4" t="s">
        <v>51</v>
      </c>
      <c r="D4" t="s">
        <v>53</v>
      </c>
      <c r="E4" t="s">
        <v>48</v>
      </c>
      <c r="F4" t="s">
        <v>44</v>
      </c>
      <c r="G4" t="s">
        <v>50</v>
      </c>
      <c r="H4" t="s">
        <v>52</v>
      </c>
      <c r="I4" t="s">
        <v>45</v>
      </c>
      <c r="J4" t="s">
        <v>46</v>
      </c>
      <c r="K4" t="s">
        <v>41</v>
      </c>
      <c r="L4" t="s">
        <v>42</v>
      </c>
      <c r="M4" t="s">
        <v>47</v>
      </c>
      <c r="N4" t="s">
        <v>43</v>
      </c>
      <c r="O4" t="s">
        <v>49</v>
      </c>
      <c r="P4" t="s">
        <v>57</v>
      </c>
      <c r="Q4" t="s">
        <v>16</v>
      </c>
    </row>
    <row r="5" spans="1:17" x14ac:dyDescent="0.3">
      <c r="A5" s="20" t="s">
        <v>19</v>
      </c>
      <c r="B5" s="28">
        <v>2636600</v>
      </c>
      <c r="C5" s="28">
        <v>1640500</v>
      </c>
      <c r="D5" s="28">
        <v>2840100</v>
      </c>
      <c r="E5" s="28">
        <v>7534800</v>
      </c>
      <c r="F5" s="28">
        <v>7677100</v>
      </c>
      <c r="G5" s="28">
        <v>2641500</v>
      </c>
      <c r="H5" s="28">
        <v>22712000</v>
      </c>
      <c r="I5" s="28">
        <v>420000</v>
      </c>
      <c r="J5" s="28">
        <v>4931400</v>
      </c>
      <c r="K5" s="28">
        <v>10212000</v>
      </c>
      <c r="L5" s="28"/>
      <c r="M5" s="28">
        <v>813000</v>
      </c>
      <c r="N5" s="28">
        <v>5556400</v>
      </c>
      <c r="O5" s="28">
        <v>6600000</v>
      </c>
      <c r="P5" s="28"/>
      <c r="Q5" s="28">
        <v>76215400</v>
      </c>
    </row>
    <row r="6" spans="1:17" x14ac:dyDescent="0.3">
      <c r="A6" s="20" t="s">
        <v>20</v>
      </c>
      <c r="B6" s="28">
        <v>9599100</v>
      </c>
      <c r="C6" s="28"/>
      <c r="D6" s="28">
        <v>311750</v>
      </c>
      <c r="E6" s="28">
        <v>98178048</v>
      </c>
      <c r="F6" s="28">
        <v>13802650</v>
      </c>
      <c r="G6" s="28">
        <v>4314100</v>
      </c>
      <c r="H6" s="28">
        <v>20968250</v>
      </c>
      <c r="I6" s="28">
        <v>324750</v>
      </c>
      <c r="J6" s="28">
        <v>5098400</v>
      </c>
      <c r="K6" s="28">
        <v>71555550</v>
      </c>
      <c r="L6" s="28"/>
      <c r="M6" s="28">
        <v>2507650</v>
      </c>
      <c r="N6" s="28">
        <v>1165450</v>
      </c>
      <c r="O6" s="28">
        <v>16688800</v>
      </c>
      <c r="P6" s="28"/>
      <c r="Q6" s="28">
        <v>244514498</v>
      </c>
    </row>
    <row r="7" spans="1:17" x14ac:dyDescent="0.3">
      <c r="A7" s="20" t="s">
        <v>21</v>
      </c>
      <c r="B7" s="28">
        <v>8895500</v>
      </c>
      <c r="C7" s="28">
        <v>5234790</v>
      </c>
      <c r="D7" s="28">
        <v>13512340</v>
      </c>
      <c r="E7" s="28">
        <v>6723500</v>
      </c>
      <c r="F7" s="28">
        <v>29097450</v>
      </c>
      <c r="G7" s="28">
        <v>22786010</v>
      </c>
      <c r="H7" s="28">
        <v>15696290</v>
      </c>
      <c r="I7" s="28">
        <v>4847340</v>
      </c>
      <c r="J7" s="28">
        <v>2983900</v>
      </c>
      <c r="K7" s="28">
        <v>9949010</v>
      </c>
      <c r="L7" s="28">
        <v>4173000</v>
      </c>
      <c r="M7" s="28">
        <v>12190340</v>
      </c>
      <c r="N7" s="28">
        <v>58207177.5</v>
      </c>
      <c r="O7" s="28">
        <v>19671900</v>
      </c>
      <c r="P7" s="28"/>
      <c r="Q7" s="28">
        <v>213968547.5</v>
      </c>
    </row>
    <row r="8" spans="1:17" x14ac:dyDescent="0.3">
      <c r="A8" s="20" t="s">
        <v>22</v>
      </c>
      <c r="B8" s="28">
        <v>23212700</v>
      </c>
      <c r="C8" s="28">
        <v>20914275</v>
      </c>
      <c r="D8" s="28">
        <v>20213555</v>
      </c>
      <c r="E8" s="28">
        <v>15549060</v>
      </c>
      <c r="F8" s="28">
        <v>19907105</v>
      </c>
      <c r="G8" s="28">
        <v>12304930</v>
      </c>
      <c r="H8" s="28">
        <v>9278825</v>
      </c>
      <c r="I8" s="28">
        <v>33681092.5</v>
      </c>
      <c r="J8" s="28">
        <v>8503390</v>
      </c>
      <c r="K8" s="28">
        <v>3368950</v>
      </c>
      <c r="L8" s="28">
        <v>1646485</v>
      </c>
      <c r="M8" s="28">
        <v>5214525</v>
      </c>
      <c r="N8" s="28">
        <v>2264495</v>
      </c>
      <c r="O8" s="28">
        <v>9189875</v>
      </c>
      <c r="P8" s="28"/>
      <c r="Q8" s="28">
        <v>185249262.5</v>
      </c>
    </row>
    <row r="9" spans="1:17" x14ac:dyDescent="0.3">
      <c r="A9" s="20" t="s">
        <v>23</v>
      </c>
      <c r="B9" s="28">
        <v>14480850</v>
      </c>
      <c r="C9" s="28">
        <v>15023250</v>
      </c>
      <c r="D9" s="28">
        <v>10165450</v>
      </c>
      <c r="E9" s="28">
        <v>16823640</v>
      </c>
      <c r="F9" s="28">
        <v>12621625</v>
      </c>
      <c r="G9" s="28">
        <v>4802050</v>
      </c>
      <c r="H9" s="28">
        <v>8530550</v>
      </c>
      <c r="I9" s="28">
        <v>15982900</v>
      </c>
      <c r="J9" s="28">
        <v>22156050</v>
      </c>
      <c r="K9" s="28">
        <v>1840900</v>
      </c>
      <c r="L9" s="28">
        <v>1123310</v>
      </c>
      <c r="M9" s="28">
        <v>7486200</v>
      </c>
      <c r="N9" s="28">
        <v>2004550</v>
      </c>
      <c r="O9" s="28">
        <v>1612375</v>
      </c>
      <c r="P9" s="28"/>
      <c r="Q9" s="28">
        <v>134653700</v>
      </c>
    </row>
    <row r="10" spans="1:17" x14ac:dyDescent="0.3">
      <c r="A10" s="20" t="s">
        <v>24</v>
      </c>
      <c r="B10" s="28">
        <v>11142224</v>
      </c>
      <c r="C10" s="28">
        <v>17392120</v>
      </c>
      <c r="D10" s="28">
        <v>21043660</v>
      </c>
      <c r="E10" s="28">
        <v>11672165</v>
      </c>
      <c r="F10" s="28">
        <v>27816550</v>
      </c>
      <c r="G10" s="28">
        <v>6779590</v>
      </c>
      <c r="H10" s="28">
        <v>21244574</v>
      </c>
      <c r="I10" s="28">
        <v>8911885</v>
      </c>
      <c r="J10" s="28">
        <v>10073735</v>
      </c>
      <c r="K10" s="28">
        <v>13309120</v>
      </c>
      <c r="L10" s="28">
        <v>1576500</v>
      </c>
      <c r="M10" s="28">
        <v>14156760</v>
      </c>
      <c r="N10" s="28">
        <v>4127350</v>
      </c>
      <c r="O10" s="28">
        <v>5488120</v>
      </c>
      <c r="P10" s="28"/>
      <c r="Q10" s="28">
        <v>174734353</v>
      </c>
    </row>
    <row r="11" spans="1:17" x14ac:dyDescent="0.3">
      <c r="A11" s="20" t="s">
        <v>25</v>
      </c>
      <c r="B11" s="28">
        <v>66696237</v>
      </c>
      <c r="C11" s="28">
        <v>17592812.5</v>
      </c>
      <c r="D11" s="28">
        <v>58799308</v>
      </c>
      <c r="E11" s="28">
        <v>56608038</v>
      </c>
      <c r="F11" s="28">
        <v>64052418.5</v>
      </c>
      <c r="G11" s="28">
        <v>19084288</v>
      </c>
      <c r="H11" s="28">
        <v>13199355</v>
      </c>
      <c r="I11" s="28">
        <v>92663962.5</v>
      </c>
      <c r="J11" s="28">
        <v>12080016</v>
      </c>
      <c r="K11" s="28">
        <v>15333547</v>
      </c>
      <c r="L11" s="28">
        <v>8605900</v>
      </c>
      <c r="M11" s="28">
        <v>12680990</v>
      </c>
      <c r="N11" s="28">
        <v>67825249</v>
      </c>
      <c r="O11" s="28">
        <v>972400</v>
      </c>
      <c r="P11" s="28"/>
      <c r="Q11" s="28">
        <v>506194521.5</v>
      </c>
    </row>
    <row r="12" spans="1:17" x14ac:dyDescent="0.3">
      <c r="A12" s="20" t="s">
        <v>26</v>
      </c>
      <c r="B12" s="28">
        <v>14177210</v>
      </c>
      <c r="C12" s="28">
        <v>10631000</v>
      </c>
      <c r="D12" s="28">
        <v>12692355</v>
      </c>
      <c r="E12" s="28">
        <v>10617545</v>
      </c>
      <c r="F12" s="28">
        <v>46614180</v>
      </c>
      <c r="G12" s="28">
        <v>4535630</v>
      </c>
      <c r="H12" s="28">
        <v>9997775</v>
      </c>
      <c r="I12" s="28">
        <v>8020230</v>
      </c>
      <c r="J12" s="28">
        <v>3219650</v>
      </c>
      <c r="K12" s="28">
        <v>2212130</v>
      </c>
      <c r="L12" s="28">
        <v>839220</v>
      </c>
      <c r="M12" s="28">
        <v>9886205</v>
      </c>
      <c r="N12" s="28">
        <v>1524210</v>
      </c>
      <c r="O12" s="28">
        <v>2552129</v>
      </c>
      <c r="P12" s="28"/>
      <c r="Q12" s="28">
        <v>137519469</v>
      </c>
    </row>
    <row r="13" spans="1:17" x14ac:dyDescent="0.3">
      <c r="A13" s="20" t="s">
        <v>27</v>
      </c>
      <c r="B13" s="28">
        <v>44195371</v>
      </c>
      <c r="C13" s="28">
        <v>8259896</v>
      </c>
      <c r="D13" s="28">
        <v>29503511</v>
      </c>
      <c r="E13" s="28">
        <v>22692942</v>
      </c>
      <c r="F13" s="28">
        <v>25890397</v>
      </c>
      <c r="G13" s="28">
        <v>11065030</v>
      </c>
      <c r="H13" s="28">
        <v>33042285</v>
      </c>
      <c r="I13" s="28">
        <v>4254950</v>
      </c>
      <c r="J13" s="28">
        <v>17856635</v>
      </c>
      <c r="K13" s="28">
        <v>13227625</v>
      </c>
      <c r="L13" s="28">
        <v>12759025</v>
      </c>
      <c r="M13" s="28">
        <v>15655288</v>
      </c>
      <c r="N13" s="28">
        <v>7071340</v>
      </c>
      <c r="O13" s="28">
        <v>1598735</v>
      </c>
      <c r="P13" s="28">
        <v>14000</v>
      </c>
      <c r="Q13" s="28">
        <v>247087030</v>
      </c>
    </row>
    <row r="14" spans="1:17" x14ac:dyDescent="0.3">
      <c r="A14" s="20" t="s">
        <v>28</v>
      </c>
      <c r="B14" s="28">
        <v>32528100</v>
      </c>
      <c r="C14" s="28">
        <v>17334000</v>
      </c>
      <c r="D14" s="28">
        <v>46938720</v>
      </c>
      <c r="E14" s="28">
        <v>26697100</v>
      </c>
      <c r="F14" s="28">
        <v>26654400</v>
      </c>
      <c r="G14" s="28">
        <v>7617500</v>
      </c>
      <c r="H14" s="28">
        <v>66020500</v>
      </c>
      <c r="I14" s="28">
        <v>17260100</v>
      </c>
      <c r="J14" s="28">
        <v>16549000</v>
      </c>
      <c r="K14" s="28">
        <v>23819900</v>
      </c>
      <c r="L14" s="28">
        <v>21826300</v>
      </c>
      <c r="M14" s="28">
        <v>11900900</v>
      </c>
      <c r="N14" s="28">
        <v>46263100</v>
      </c>
      <c r="O14" s="28">
        <v>6435700</v>
      </c>
      <c r="P14" s="28"/>
      <c r="Q14" s="28">
        <v>367845320</v>
      </c>
    </row>
    <row r="15" spans="1:17" x14ac:dyDescent="0.3">
      <c r="A15" s="20" t="s">
        <v>29</v>
      </c>
      <c r="B15" s="28">
        <v>31911388.77</v>
      </c>
      <c r="C15" s="28">
        <v>5332161</v>
      </c>
      <c r="D15" s="28">
        <v>25497771.73</v>
      </c>
      <c r="E15" s="28">
        <v>15789750.4</v>
      </c>
      <c r="F15" s="28">
        <v>46756487.07</v>
      </c>
      <c r="G15" s="28">
        <v>8314540</v>
      </c>
      <c r="H15" s="28">
        <v>15661434.949999999</v>
      </c>
      <c r="I15" s="28">
        <v>16847024.550000001</v>
      </c>
      <c r="J15" s="28">
        <v>4270345.6399999997</v>
      </c>
      <c r="K15" s="28">
        <v>27639774.32</v>
      </c>
      <c r="L15" s="28">
        <v>768900</v>
      </c>
      <c r="M15" s="28">
        <v>5466273.7599999998</v>
      </c>
      <c r="N15" s="28">
        <v>7878025.3799999999</v>
      </c>
      <c r="O15" s="28">
        <v>4596385.68</v>
      </c>
      <c r="P15" s="28"/>
      <c r="Q15" s="28">
        <v>216730263.24999997</v>
      </c>
    </row>
    <row r="16" spans="1:17" x14ac:dyDescent="0.3">
      <c r="A16" s="20" t="s">
        <v>30</v>
      </c>
      <c r="B16" s="28">
        <v>23581430</v>
      </c>
      <c r="C16" s="28">
        <v>10721887</v>
      </c>
      <c r="D16" s="28">
        <v>38336100</v>
      </c>
      <c r="E16" s="28">
        <v>14079500</v>
      </c>
      <c r="F16" s="28">
        <v>20870537</v>
      </c>
      <c r="G16" s="28">
        <v>11232900</v>
      </c>
      <c r="H16" s="28">
        <v>13285240</v>
      </c>
      <c r="I16" s="28">
        <v>12387020</v>
      </c>
      <c r="J16" s="28">
        <v>12919400</v>
      </c>
      <c r="K16" s="28">
        <v>7108200</v>
      </c>
      <c r="L16" s="28">
        <v>13509500</v>
      </c>
      <c r="M16" s="28">
        <v>6644900</v>
      </c>
      <c r="N16" s="28">
        <v>7551085</v>
      </c>
      <c r="O16" s="28">
        <v>3340900</v>
      </c>
      <c r="P16" s="28"/>
      <c r="Q16" s="28">
        <v>195568599</v>
      </c>
    </row>
    <row r="17" spans="1:17" x14ac:dyDescent="0.3">
      <c r="A17" s="20" t="s">
        <v>31</v>
      </c>
      <c r="B17" s="28">
        <v>11183100</v>
      </c>
      <c r="C17" s="28">
        <v>3392500</v>
      </c>
      <c r="D17" s="28">
        <v>28902200</v>
      </c>
      <c r="E17" s="28">
        <v>30494150</v>
      </c>
      <c r="F17" s="28">
        <v>34289000</v>
      </c>
      <c r="G17" s="28">
        <v>19216400</v>
      </c>
      <c r="H17" s="28">
        <v>30163500</v>
      </c>
      <c r="I17" s="28">
        <v>21720100</v>
      </c>
      <c r="J17" s="28">
        <v>20844500</v>
      </c>
      <c r="K17" s="28">
        <v>34976950</v>
      </c>
      <c r="L17" s="28">
        <v>5308700</v>
      </c>
      <c r="M17" s="28">
        <v>9946700</v>
      </c>
      <c r="N17" s="28">
        <v>11622900</v>
      </c>
      <c r="O17" s="28">
        <v>3616900</v>
      </c>
      <c r="P17" s="28"/>
      <c r="Q17" s="28">
        <v>265677600</v>
      </c>
    </row>
    <row r="18" spans="1:17" x14ac:dyDescent="0.3">
      <c r="A18" s="20" t="s">
        <v>32</v>
      </c>
      <c r="B18" s="28">
        <v>3933700</v>
      </c>
      <c r="C18" s="28">
        <v>7774200</v>
      </c>
      <c r="D18" s="28">
        <v>17655450</v>
      </c>
      <c r="E18" s="28">
        <v>2835700</v>
      </c>
      <c r="F18" s="28">
        <v>5307300</v>
      </c>
      <c r="G18" s="28">
        <v>1623800</v>
      </c>
      <c r="H18" s="28">
        <v>2212700</v>
      </c>
      <c r="I18" s="28">
        <v>968900</v>
      </c>
      <c r="J18" s="28">
        <v>1928600</v>
      </c>
      <c r="K18" s="28">
        <v>845900</v>
      </c>
      <c r="L18" s="28">
        <v>5079150</v>
      </c>
      <c r="M18" s="28">
        <v>1365100</v>
      </c>
      <c r="N18" s="28">
        <v>1906250</v>
      </c>
      <c r="O18" s="28">
        <v>14200</v>
      </c>
      <c r="P18" s="28"/>
      <c r="Q18" s="28">
        <v>53450950</v>
      </c>
    </row>
    <row r="19" spans="1:17" x14ac:dyDescent="0.3">
      <c r="A19" s="20" t="s">
        <v>33</v>
      </c>
      <c r="B19" s="28">
        <v>1948709.23</v>
      </c>
      <c r="C19" s="28">
        <v>-162676.5</v>
      </c>
      <c r="D19" s="28">
        <v>914799.27</v>
      </c>
      <c r="E19" s="28">
        <v>-623169.4</v>
      </c>
      <c r="F19" s="28">
        <v>-876308.57</v>
      </c>
      <c r="G19" s="28">
        <v>865499</v>
      </c>
      <c r="H19" s="28">
        <v>2003084.05</v>
      </c>
      <c r="I19" s="28">
        <v>-704563.55</v>
      </c>
      <c r="J19" s="28">
        <v>-826402.64</v>
      </c>
      <c r="K19" s="28">
        <v>736310.68</v>
      </c>
      <c r="L19" s="28">
        <v>-262122</v>
      </c>
      <c r="M19" s="28">
        <v>91866.240000000005</v>
      </c>
      <c r="N19" s="28">
        <v>-422514.88</v>
      </c>
      <c r="O19" s="28">
        <v>176714.32</v>
      </c>
      <c r="P19" s="28">
        <v>40000</v>
      </c>
      <c r="Q19" s="28">
        <v>2899225.2500000005</v>
      </c>
    </row>
    <row r="20" spans="1:17" x14ac:dyDescent="0.3">
      <c r="A20" s="20" t="s">
        <v>34</v>
      </c>
      <c r="B20" s="28"/>
      <c r="C20" s="28"/>
      <c r="D20" s="28"/>
      <c r="E20" s="28">
        <v>-9000</v>
      </c>
      <c r="F20" s="28"/>
      <c r="G20" s="28"/>
      <c r="H20" s="28"/>
      <c r="I20" s="28"/>
      <c r="J20" s="28"/>
      <c r="K20" s="28"/>
      <c r="L20" s="28"/>
      <c r="M20" s="28"/>
      <c r="N20" s="28">
        <v>-4750</v>
      </c>
      <c r="O20" s="28"/>
      <c r="P20" s="28"/>
      <c r="Q20" s="28">
        <v>-13750</v>
      </c>
    </row>
    <row r="21" spans="1:17" x14ac:dyDescent="0.3">
      <c r="A21" s="20" t="s">
        <v>16</v>
      </c>
      <c r="B21" s="28">
        <v>300122220</v>
      </c>
      <c r="C21" s="28">
        <v>141080715</v>
      </c>
      <c r="D21" s="28">
        <v>327327070</v>
      </c>
      <c r="E21" s="28">
        <v>335663769</v>
      </c>
      <c r="F21" s="28">
        <v>380480891</v>
      </c>
      <c r="G21" s="28">
        <v>137183767</v>
      </c>
      <c r="H21" s="28">
        <v>284016363</v>
      </c>
      <c r="I21" s="28">
        <v>237585691</v>
      </c>
      <c r="J21" s="28">
        <v>142588619</v>
      </c>
      <c r="K21" s="28">
        <v>236135867</v>
      </c>
      <c r="L21" s="28">
        <v>76953868</v>
      </c>
      <c r="M21" s="28">
        <v>116006698</v>
      </c>
      <c r="N21" s="28">
        <v>224540317</v>
      </c>
      <c r="O21" s="28">
        <v>82555134</v>
      </c>
      <c r="P21" s="28">
        <v>54000</v>
      </c>
      <c r="Q21" s="28">
        <v>3022294989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2E9F-BBE3-449B-93F4-81CBEEDD9386}">
  <dimension ref="A1:C212"/>
  <sheetViews>
    <sheetView topLeftCell="A2" workbookViewId="0">
      <selection activeCell="A13" sqref="A2:C212"/>
    </sheetView>
  </sheetViews>
  <sheetFormatPr defaultRowHeight="14.4" x14ac:dyDescent="0.3"/>
  <cols>
    <col min="1" max="1" width="13.88671875" bestFit="1" customWidth="1"/>
    <col min="2" max="2" width="27.88671875" bestFit="1" customWidth="1"/>
    <col min="3" max="3" width="13.88671875" style="25" bestFit="1" customWidth="1"/>
  </cols>
  <sheetData>
    <row r="1" spans="1:3" x14ac:dyDescent="0.3">
      <c r="A1" t="s">
        <v>37</v>
      </c>
      <c r="B1" t="s">
        <v>38</v>
      </c>
      <c r="C1" s="25" t="s">
        <v>39</v>
      </c>
    </row>
    <row r="2" spans="1:3" x14ac:dyDescent="0.3">
      <c r="A2" t="s">
        <v>40</v>
      </c>
      <c r="B2" t="s">
        <v>25</v>
      </c>
      <c r="C2" s="25">
        <v>66696237</v>
      </c>
    </row>
    <row r="3" spans="1:3" x14ac:dyDescent="0.3">
      <c r="A3" t="s">
        <v>41</v>
      </c>
      <c r="B3" t="s">
        <v>33</v>
      </c>
      <c r="C3" s="25">
        <v>736310.68</v>
      </c>
    </row>
    <row r="4" spans="1:3" x14ac:dyDescent="0.3">
      <c r="A4" t="s">
        <v>40</v>
      </c>
      <c r="B4" t="s">
        <v>32</v>
      </c>
      <c r="C4" s="25">
        <v>3933700</v>
      </c>
    </row>
    <row r="5" spans="1:3" x14ac:dyDescent="0.3">
      <c r="A5" t="s">
        <v>41</v>
      </c>
      <c r="B5" t="s">
        <v>20</v>
      </c>
      <c r="C5" s="25">
        <v>71555550</v>
      </c>
    </row>
    <row r="6" spans="1:3" x14ac:dyDescent="0.3">
      <c r="A6" t="s">
        <v>42</v>
      </c>
      <c r="B6" t="s">
        <v>24</v>
      </c>
      <c r="C6" s="25">
        <v>1576500</v>
      </c>
    </row>
    <row r="7" spans="1:3" x14ac:dyDescent="0.3">
      <c r="A7" t="s">
        <v>41</v>
      </c>
      <c r="B7" t="s">
        <v>32</v>
      </c>
      <c r="C7" s="25">
        <v>845900</v>
      </c>
    </row>
    <row r="8" spans="1:3" x14ac:dyDescent="0.3">
      <c r="A8" t="s">
        <v>43</v>
      </c>
      <c r="B8" t="s">
        <v>20</v>
      </c>
      <c r="C8" s="25">
        <v>1165450</v>
      </c>
    </row>
    <row r="9" spans="1:3" x14ac:dyDescent="0.3">
      <c r="A9" t="s">
        <v>44</v>
      </c>
      <c r="B9" t="s">
        <v>26</v>
      </c>
      <c r="C9" s="25">
        <v>46614180</v>
      </c>
    </row>
    <row r="10" spans="1:3" x14ac:dyDescent="0.3">
      <c r="A10" t="s">
        <v>45</v>
      </c>
      <c r="B10" t="s">
        <v>26</v>
      </c>
      <c r="C10" s="25">
        <v>8020230</v>
      </c>
    </row>
    <row r="11" spans="1:3" x14ac:dyDescent="0.3">
      <c r="A11" t="s">
        <v>40</v>
      </c>
      <c r="B11" t="s">
        <v>27</v>
      </c>
      <c r="C11" s="25">
        <v>44195371</v>
      </c>
    </row>
    <row r="12" spans="1:3" x14ac:dyDescent="0.3">
      <c r="A12" t="s">
        <v>46</v>
      </c>
      <c r="B12" t="s">
        <v>27</v>
      </c>
      <c r="C12" s="25">
        <v>17856635</v>
      </c>
    </row>
    <row r="13" spans="1:3" x14ac:dyDescent="0.3">
      <c r="A13" t="s">
        <v>40</v>
      </c>
      <c r="B13" t="s">
        <v>30</v>
      </c>
      <c r="C13" s="25">
        <v>23581430</v>
      </c>
    </row>
    <row r="14" spans="1:3" x14ac:dyDescent="0.3">
      <c r="A14" t="s">
        <v>40</v>
      </c>
      <c r="B14" t="s">
        <v>31</v>
      </c>
      <c r="C14" s="25">
        <v>11183100</v>
      </c>
    </row>
    <row r="15" spans="1:3" x14ac:dyDescent="0.3">
      <c r="A15" t="s">
        <v>40</v>
      </c>
      <c r="B15" t="s">
        <v>26</v>
      </c>
      <c r="C15" s="25">
        <v>14177210</v>
      </c>
    </row>
    <row r="16" spans="1:3" x14ac:dyDescent="0.3">
      <c r="A16" t="s">
        <v>43</v>
      </c>
      <c r="B16" t="s">
        <v>24</v>
      </c>
      <c r="C16" s="25">
        <v>4127350</v>
      </c>
    </row>
    <row r="17" spans="1:3" x14ac:dyDescent="0.3">
      <c r="A17" t="s">
        <v>44</v>
      </c>
      <c r="B17" t="s">
        <v>23</v>
      </c>
      <c r="C17" s="25">
        <v>12621625</v>
      </c>
    </row>
    <row r="18" spans="1:3" x14ac:dyDescent="0.3">
      <c r="A18" t="s">
        <v>43</v>
      </c>
      <c r="B18" t="s">
        <v>19</v>
      </c>
      <c r="C18" s="25">
        <v>5556400</v>
      </c>
    </row>
    <row r="19" spans="1:3" x14ac:dyDescent="0.3">
      <c r="A19" t="s">
        <v>45</v>
      </c>
      <c r="B19" t="s">
        <v>23</v>
      </c>
      <c r="C19" s="25">
        <v>15982900</v>
      </c>
    </row>
    <row r="20" spans="1:3" x14ac:dyDescent="0.3">
      <c r="A20" t="s">
        <v>46</v>
      </c>
      <c r="B20" t="s">
        <v>22</v>
      </c>
      <c r="C20" s="25">
        <v>8503390</v>
      </c>
    </row>
    <row r="21" spans="1:3" x14ac:dyDescent="0.3">
      <c r="A21" t="s">
        <v>47</v>
      </c>
      <c r="B21" t="s">
        <v>25</v>
      </c>
      <c r="C21" s="25">
        <v>12680990</v>
      </c>
    </row>
    <row r="22" spans="1:3" x14ac:dyDescent="0.3">
      <c r="A22" t="s">
        <v>46</v>
      </c>
      <c r="B22" t="s">
        <v>29</v>
      </c>
      <c r="C22" s="25">
        <v>4270345.6399999997</v>
      </c>
    </row>
    <row r="23" spans="1:3" x14ac:dyDescent="0.3">
      <c r="A23" t="s">
        <v>48</v>
      </c>
      <c r="B23" t="s">
        <v>22</v>
      </c>
      <c r="C23" s="25">
        <v>15549060</v>
      </c>
    </row>
    <row r="24" spans="1:3" x14ac:dyDescent="0.3">
      <c r="A24" t="s">
        <v>44</v>
      </c>
      <c r="B24" t="s">
        <v>21</v>
      </c>
      <c r="C24" s="25">
        <v>29097450</v>
      </c>
    </row>
    <row r="25" spans="1:3" x14ac:dyDescent="0.3">
      <c r="A25" t="s">
        <v>49</v>
      </c>
      <c r="B25" t="s">
        <v>21</v>
      </c>
      <c r="C25" s="25">
        <v>19671900</v>
      </c>
    </row>
    <row r="26" spans="1:3" x14ac:dyDescent="0.3">
      <c r="A26" t="s">
        <v>47</v>
      </c>
      <c r="B26" t="s">
        <v>22</v>
      </c>
      <c r="C26" s="25">
        <v>5214525</v>
      </c>
    </row>
    <row r="27" spans="1:3" x14ac:dyDescent="0.3">
      <c r="A27" t="s">
        <v>42</v>
      </c>
      <c r="B27" t="s">
        <v>33</v>
      </c>
      <c r="C27" s="25">
        <v>-262122</v>
      </c>
    </row>
    <row r="28" spans="1:3" x14ac:dyDescent="0.3">
      <c r="A28" t="s">
        <v>50</v>
      </c>
      <c r="B28" t="s">
        <v>19</v>
      </c>
      <c r="C28" s="25">
        <v>2641500</v>
      </c>
    </row>
    <row r="29" spans="1:3" x14ac:dyDescent="0.3">
      <c r="A29" t="s">
        <v>49</v>
      </c>
      <c r="B29" t="s">
        <v>23</v>
      </c>
      <c r="C29" s="25">
        <v>1612375</v>
      </c>
    </row>
    <row r="30" spans="1:3" x14ac:dyDescent="0.3">
      <c r="A30" t="s">
        <v>45</v>
      </c>
      <c r="B30" t="s">
        <v>24</v>
      </c>
      <c r="C30" s="25">
        <v>8911885</v>
      </c>
    </row>
    <row r="31" spans="1:3" x14ac:dyDescent="0.3">
      <c r="A31" t="s">
        <v>45</v>
      </c>
      <c r="B31" t="s">
        <v>22</v>
      </c>
      <c r="C31" s="25">
        <v>33681092.5</v>
      </c>
    </row>
    <row r="32" spans="1:3" x14ac:dyDescent="0.3">
      <c r="A32" t="s">
        <v>40</v>
      </c>
      <c r="B32" t="s">
        <v>19</v>
      </c>
      <c r="C32" s="25">
        <v>2636600</v>
      </c>
    </row>
    <row r="33" spans="1:3" x14ac:dyDescent="0.3">
      <c r="A33" t="s">
        <v>40</v>
      </c>
      <c r="B33" t="s">
        <v>33</v>
      </c>
      <c r="C33" s="25">
        <v>1948709.23</v>
      </c>
    </row>
    <row r="34" spans="1:3" x14ac:dyDescent="0.3">
      <c r="A34" t="s">
        <v>49</v>
      </c>
      <c r="B34" t="s">
        <v>26</v>
      </c>
      <c r="C34" s="25">
        <v>2552129</v>
      </c>
    </row>
    <row r="35" spans="1:3" x14ac:dyDescent="0.3">
      <c r="A35" t="s">
        <v>44</v>
      </c>
      <c r="B35" t="s">
        <v>29</v>
      </c>
      <c r="C35" s="25">
        <v>46756487.07</v>
      </c>
    </row>
    <row r="36" spans="1:3" x14ac:dyDescent="0.3">
      <c r="A36" t="s">
        <v>51</v>
      </c>
      <c r="B36" t="s">
        <v>28</v>
      </c>
      <c r="C36" s="25">
        <v>17334000</v>
      </c>
    </row>
    <row r="37" spans="1:3" x14ac:dyDescent="0.3">
      <c r="A37" t="s">
        <v>50</v>
      </c>
      <c r="B37" t="s">
        <v>23</v>
      </c>
      <c r="C37" s="25">
        <v>4802050</v>
      </c>
    </row>
    <row r="38" spans="1:3" x14ac:dyDescent="0.3">
      <c r="A38" t="s">
        <v>52</v>
      </c>
      <c r="B38" t="s">
        <v>24</v>
      </c>
      <c r="C38" s="25">
        <v>21244574</v>
      </c>
    </row>
    <row r="39" spans="1:3" x14ac:dyDescent="0.3">
      <c r="A39" t="s">
        <v>43</v>
      </c>
      <c r="B39" t="s">
        <v>23</v>
      </c>
      <c r="C39" s="25">
        <v>2004550</v>
      </c>
    </row>
    <row r="40" spans="1:3" x14ac:dyDescent="0.3">
      <c r="A40" t="s">
        <v>44</v>
      </c>
      <c r="B40" t="s">
        <v>28</v>
      </c>
      <c r="C40" s="25">
        <v>26654400</v>
      </c>
    </row>
    <row r="41" spans="1:3" x14ac:dyDescent="0.3">
      <c r="A41" t="s">
        <v>53</v>
      </c>
      <c r="B41" t="s">
        <v>28</v>
      </c>
      <c r="C41" s="25">
        <v>46938720</v>
      </c>
    </row>
    <row r="42" spans="1:3" x14ac:dyDescent="0.3">
      <c r="A42" t="s">
        <v>47</v>
      </c>
      <c r="B42" t="s">
        <v>23</v>
      </c>
      <c r="C42" s="25">
        <v>7486200</v>
      </c>
    </row>
    <row r="43" spans="1:3" x14ac:dyDescent="0.3">
      <c r="A43" t="s">
        <v>51</v>
      </c>
      <c r="B43" t="s">
        <v>33</v>
      </c>
      <c r="C43" s="25">
        <v>-162676.5</v>
      </c>
    </row>
    <row r="44" spans="1:3" x14ac:dyDescent="0.3">
      <c r="A44" t="s">
        <v>52</v>
      </c>
      <c r="B44" t="s">
        <v>26</v>
      </c>
      <c r="C44" s="25">
        <v>9997775</v>
      </c>
    </row>
    <row r="45" spans="1:3" x14ac:dyDescent="0.3">
      <c r="A45" t="s">
        <v>47</v>
      </c>
      <c r="B45" t="s">
        <v>27</v>
      </c>
      <c r="C45" s="25">
        <v>15655288</v>
      </c>
    </row>
    <row r="46" spans="1:3" x14ac:dyDescent="0.3">
      <c r="A46" t="s">
        <v>43</v>
      </c>
      <c r="B46" t="s">
        <v>25</v>
      </c>
      <c r="C46" s="25">
        <v>67825249</v>
      </c>
    </row>
    <row r="47" spans="1:3" x14ac:dyDescent="0.3">
      <c r="A47" t="s">
        <v>49</v>
      </c>
      <c r="B47" t="s">
        <v>22</v>
      </c>
      <c r="C47" s="25">
        <v>9189875</v>
      </c>
    </row>
    <row r="48" spans="1:3" x14ac:dyDescent="0.3">
      <c r="A48" t="s">
        <v>48</v>
      </c>
      <c r="B48" t="s">
        <v>31</v>
      </c>
      <c r="C48" s="25">
        <v>30494150</v>
      </c>
    </row>
    <row r="49" spans="1:3" x14ac:dyDescent="0.3">
      <c r="A49" t="s">
        <v>44</v>
      </c>
      <c r="B49" t="s">
        <v>33</v>
      </c>
      <c r="C49" s="25">
        <v>-876308.57</v>
      </c>
    </row>
    <row r="50" spans="1:3" x14ac:dyDescent="0.3">
      <c r="A50" t="s">
        <v>41</v>
      </c>
      <c r="B50" t="s">
        <v>28</v>
      </c>
      <c r="C50" s="25">
        <v>23819900</v>
      </c>
    </row>
    <row r="51" spans="1:3" x14ac:dyDescent="0.3">
      <c r="A51" t="s">
        <v>48</v>
      </c>
      <c r="B51" t="s">
        <v>34</v>
      </c>
      <c r="C51" s="25">
        <v>-9000</v>
      </c>
    </row>
    <row r="52" spans="1:3" x14ac:dyDescent="0.3">
      <c r="A52" t="s">
        <v>53</v>
      </c>
      <c r="B52" t="s">
        <v>33</v>
      </c>
      <c r="C52" s="25">
        <v>914799.27</v>
      </c>
    </row>
    <row r="53" spans="1:3" x14ac:dyDescent="0.3">
      <c r="A53" t="s">
        <v>52</v>
      </c>
      <c r="B53" t="s">
        <v>27</v>
      </c>
      <c r="C53" s="25">
        <v>33042285</v>
      </c>
    </row>
    <row r="54" spans="1:3" x14ac:dyDescent="0.3">
      <c r="A54" t="s">
        <v>43</v>
      </c>
      <c r="B54" t="s">
        <v>26</v>
      </c>
      <c r="C54" s="25">
        <v>1524210</v>
      </c>
    </row>
    <row r="55" spans="1:3" x14ac:dyDescent="0.3">
      <c r="A55" t="s">
        <v>51</v>
      </c>
      <c r="B55" t="s">
        <v>25</v>
      </c>
      <c r="C55" s="25">
        <v>17592812.5</v>
      </c>
    </row>
    <row r="56" spans="1:3" x14ac:dyDescent="0.3">
      <c r="A56" t="s">
        <v>50</v>
      </c>
      <c r="B56" t="s">
        <v>32</v>
      </c>
      <c r="C56" s="25">
        <v>1623800</v>
      </c>
    </row>
    <row r="57" spans="1:3" x14ac:dyDescent="0.3">
      <c r="A57" t="s">
        <v>41</v>
      </c>
      <c r="B57" t="s">
        <v>30</v>
      </c>
      <c r="C57" s="25">
        <v>7108200</v>
      </c>
    </row>
    <row r="58" spans="1:3" x14ac:dyDescent="0.3">
      <c r="A58" t="s">
        <v>49</v>
      </c>
      <c r="B58" t="s">
        <v>28</v>
      </c>
      <c r="C58" s="25">
        <v>6435700</v>
      </c>
    </row>
    <row r="59" spans="1:3" x14ac:dyDescent="0.3">
      <c r="A59" t="s">
        <v>48</v>
      </c>
      <c r="B59" t="s">
        <v>25</v>
      </c>
      <c r="C59" s="25">
        <v>56608038</v>
      </c>
    </row>
    <row r="60" spans="1:3" x14ac:dyDescent="0.3">
      <c r="A60" t="s">
        <v>57</v>
      </c>
      <c r="B60" t="s">
        <v>27</v>
      </c>
      <c r="C60" s="25">
        <v>14000</v>
      </c>
    </row>
    <row r="61" spans="1:3" x14ac:dyDescent="0.3">
      <c r="A61" t="s">
        <v>49</v>
      </c>
      <c r="B61" t="s">
        <v>31</v>
      </c>
      <c r="C61" s="25">
        <v>3616900</v>
      </c>
    </row>
    <row r="62" spans="1:3" x14ac:dyDescent="0.3">
      <c r="A62" t="s">
        <v>44</v>
      </c>
      <c r="B62" t="s">
        <v>27</v>
      </c>
      <c r="C62" s="25">
        <v>25890397</v>
      </c>
    </row>
    <row r="63" spans="1:3" x14ac:dyDescent="0.3">
      <c r="A63" t="s">
        <v>45</v>
      </c>
      <c r="B63" t="s">
        <v>19</v>
      </c>
      <c r="C63" s="25">
        <v>420000</v>
      </c>
    </row>
    <row r="64" spans="1:3" x14ac:dyDescent="0.3">
      <c r="A64" t="s">
        <v>51</v>
      </c>
      <c r="B64" t="s">
        <v>30</v>
      </c>
      <c r="C64" s="25">
        <v>10721887</v>
      </c>
    </row>
    <row r="65" spans="1:3" x14ac:dyDescent="0.3">
      <c r="A65" t="s">
        <v>44</v>
      </c>
      <c r="B65" t="s">
        <v>30</v>
      </c>
      <c r="C65" s="25">
        <v>20870537</v>
      </c>
    </row>
    <row r="66" spans="1:3" x14ac:dyDescent="0.3">
      <c r="A66" t="s">
        <v>41</v>
      </c>
      <c r="B66" t="s">
        <v>26</v>
      </c>
      <c r="C66" s="25">
        <v>2212130</v>
      </c>
    </row>
    <row r="67" spans="1:3" x14ac:dyDescent="0.3">
      <c r="A67" t="s">
        <v>53</v>
      </c>
      <c r="B67" t="s">
        <v>20</v>
      </c>
      <c r="C67" s="25">
        <v>311750</v>
      </c>
    </row>
    <row r="68" spans="1:3" x14ac:dyDescent="0.3">
      <c r="A68" t="s">
        <v>50</v>
      </c>
      <c r="B68" t="s">
        <v>24</v>
      </c>
      <c r="C68" s="25">
        <v>6779590</v>
      </c>
    </row>
    <row r="69" spans="1:3" x14ac:dyDescent="0.3">
      <c r="A69" t="s">
        <v>41</v>
      </c>
      <c r="B69" t="s">
        <v>21</v>
      </c>
      <c r="C69" s="25">
        <v>9949010</v>
      </c>
    </row>
    <row r="70" spans="1:3" x14ac:dyDescent="0.3">
      <c r="A70" t="s">
        <v>49</v>
      </c>
      <c r="B70" t="s">
        <v>32</v>
      </c>
      <c r="C70" s="25">
        <v>14200</v>
      </c>
    </row>
    <row r="71" spans="1:3" x14ac:dyDescent="0.3">
      <c r="A71" t="s">
        <v>50</v>
      </c>
      <c r="B71" t="s">
        <v>27</v>
      </c>
      <c r="C71" s="25">
        <v>11065030</v>
      </c>
    </row>
    <row r="72" spans="1:3" x14ac:dyDescent="0.3">
      <c r="A72" t="s">
        <v>53</v>
      </c>
      <c r="B72" t="s">
        <v>24</v>
      </c>
      <c r="C72" s="25">
        <v>21043660</v>
      </c>
    </row>
    <row r="73" spans="1:3" x14ac:dyDescent="0.3">
      <c r="A73" t="s">
        <v>45</v>
      </c>
      <c r="B73" t="s">
        <v>25</v>
      </c>
      <c r="C73" s="25">
        <v>92663962.5</v>
      </c>
    </row>
    <row r="74" spans="1:3" x14ac:dyDescent="0.3">
      <c r="A74" t="s">
        <v>52</v>
      </c>
      <c r="B74" t="s">
        <v>19</v>
      </c>
      <c r="C74" s="25">
        <v>22712000</v>
      </c>
    </row>
    <row r="75" spans="1:3" x14ac:dyDescent="0.3">
      <c r="A75" t="s">
        <v>42</v>
      </c>
      <c r="B75" t="s">
        <v>29</v>
      </c>
      <c r="C75" s="25">
        <v>768900</v>
      </c>
    </row>
    <row r="76" spans="1:3" x14ac:dyDescent="0.3">
      <c r="A76" t="s">
        <v>49</v>
      </c>
      <c r="B76" t="s">
        <v>25</v>
      </c>
      <c r="C76" s="25">
        <v>972400</v>
      </c>
    </row>
    <row r="77" spans="1:3" x14ac:dyDescent="0.3">
      <c r="A77" t="s">
        <v>53</v>
      </c>
      <c r="B77" t="s">
        <v>30</v>
      </c>
      <c r="C77" s="25">
        <v>38336100</v>
      </c>
    </row>
    <row r="78" spans="1:3" x14ac:dyDescent="0.3">
      <c r="A78" t="s">
        <v>50</v>
      </c>
      <c r="B78" t="s">
        <v>33</v>
      </c>
      <c r="C78" s="25">
        <v>865499</v>
      </c>
    </row>
    <row r="79" spans="1:3" x14ac:dyDescent="0.3">
      <c r="A79" t="s">
        <v>42</v>
      </c>
      <c r="B79" t="s">
        <v>28</v>
      </c>
      <c r="C79" s="25">
        <v>21826300</v>
      </c>
    </row>
    <row r="80" spans="1:3" x14ac:dyDescent="0.3">
      <c r="A80" t="s">
        <v>48</v>
      </c>
      <c r="B80" t="s">
        <v>21</v>
      </c>
      <c r="C80" s="25">
        <v>6723500</v>
      </c>
    </row>
    <row r="81" spans="1:3" x14ac:dyDescent="0.3">
      <c r="A81" t="s">
        <v>40</v>
      </c>
      <c r="B81" t="s">
        <v>22</v>
      </c>
      <c r="C81" s="25">
        <v>23212700</v>
      </c>
    </row>
    <row r="82" spans="1:3" x14ac:dyDescent="0.3">
      <c r="A82" t="s">
        <v>51</v>
      </c>
      <c r="B82" t="s">
        <v>22</v>
      </c>
      <c r="C82" s="25">
        <v>20914275</v>
      </c>
    </row>
    <row r="83" spans="1:3" x14ac:dyDescent="0.3">
      <c r="A83" t="s">
        <v>44</v>
      </c>
      <c r="B83" t="s">
        <v>32</v>
      </c>
      <c r="C83" s="25">
        <v>5307300</v>
      </c>
    </row>
    <row r="84" spans="1:3" x14ac:dyDescent="0.3">
      <c r="A84" t="s">
        <v>42</v>
      </c>
      <c r="B84" t="s">
        <v>22</v>
      </c>
      <c r="C84" s="25">
        <v>1646485</v>
      </c>
    </row>
    <row r="85" spans="1:3" x14ac:dyDescent="0.3">
      <c r="A85" t="s">
        <v>42</v>
      </c>
      <c r="B85" t="s">
        <v>25</v>
      </c>
      <c r="C85" s="25">
        <v>8605900</v>
      </c>
    </row>
    <row r="86" spans="1:3" x14ac:dyDescent="0.3">
      <c r="A86" t="s">
        <v>48</v>
      </c>
      <c r="B86" t="s">
        <v>26</v>
      </c>
      <c r="C86" s="25">
        <v>10617545</v>
      </c>
    </row>
    <row r="87" spans="1:3" x14ac:dyDescent="0.3">
      <c r="A87" t="s">
        <v>45</v>
      </c>
      <c r="B87" t="s">
        <v>31</v>
      </c>
      <c r="C87" s="25">
        <v>21720100</v>
      </c>
    </row>
    <row r="88" spans="1:3" x14ac:dyDescent="0.3">
      <c r="A88" t="s">
        <v>53</v>
      </c>
      <c r="B88" t="s">
        <v>32</v>
      </c>
      <c r="C88" s="25">
        <v>17655450</v>
      </c>
    </row>
    <row r="89" spans="1:3" x14ac:dyDescent="0.3">
      <c r="A89" t="s">
        <v>43</v>
      </c>
      <c r="B89" t="s">
        <v>31</v>
      </c>
      <c r="C89" s="25">
        <v>11622900</v>
      </c>
    </row>
    <row r="90" spans="1:3" x14ac:dyDescent="0.3">
      <c r="A90" t="s">
        <v>53</v>
      </c>
      <c r="B90" t="s">
        <v>22</v>
      </c>
      <c r="C90" s="25">
        <v>20213555</v>
      </c>
    </row>
    <row r="91" spans="1:3" x14ac:dyDescent="0.3">
      <c r="A91" t="s">
        <v>41</v>
      </c>
      <c r="B91" t="s">
        <v>27</v>
      </c>
      <c r="C91" s="25">
        <v>13227625</v>
      </c>
    </row>
    <row r="92" spans="1:3" x14ac:dyDescent="0.3">
      <c r="A92" t="s">
        <v>51</v>
      </c>
      <c r="B92" t="s">
        <v>32</v>
      </c>
      <c r="C92" s="25">
        <v>7774200</v>
      </c>
    </row>
    <row r="93" spans="1:3" x14ac:dyDescent="0.3">
      <c r="A93" t="s">
        <v>40</v>
      </c>
      <c r="B93" t="s">
        <v>23</v>
      </c>
      <c r="C93" s="25">
        <v>14480850</v>
      </c>
    </row>
    <row r="94" spans="1:3" x14ac:dyDescent="0.3">
      <c r="A94" t="s">
        <v>57</v>
      </c>
      <c r="B94" t="s">
        <v>33</v>
      </c>
      <c r="C94" s="25">
        <v>40000</v>
      </c>
    </row>
    <row r="95" spans="1:3" x14ac:dyDescent="0.3">
      <c r="A95" t="s">
        <v>41</v>
      </c>
      <c r="B95" t="s">
        <v>29</v>
      </c>
      <c r="C95" s="25">
        <v>27639774.32</v>
      </c>
    </row>
    <row r="96" spans="1:3" x14ac:dyDescent="0.3">
      <c r="A96" t="s">
        <v>44</v>
      </c>
      <c r="B96" t="s">
        <v>22</v>
      </c>
      <c r="C96" s="25">
        <v>19907105</v>
      </c>
    </row>
    <row r="97" spans="1:3" x14ac:dyDescent="0.3">
      <c r="A97" t="s">
        <v>42</v>
      </c>
      <c r="B97" t="s">
        <v>30</v>
      </c>
      <c r="C97" s="25">
        <v>13509500</v>
      </c>
    </row>
    <row r="98" spans="1:3" x14ac:dyDescent="0.3">
      <c r="A98" t="s">
        <v>50</v>
      </c>
      <c r="B98" t="s">
        <v>26</v>
      </c>
      <c r="C98" s="25">
        <v>4535630</v>
      </c>
    </row>
    <row r="99" spans="1:3" x14ac:dyDescent="0.3">
      <c r="A99" t="s">
        <v>42</v>
      </c>
      <c r="B99" t="s">
        <v>32</v>
      </c>
      <c r="C99" s="25">
        <v>5079150</v>
      </c>
    </row>
    <row r="100" spans="1:3" x14ac:dyDescent="0.3">
      <c r="A100" t="s">
        <v>48</v>
      </c>
      <c r="B100" t="s">
        <v>27</v>
      </c>
      <c r="C100" s="25">
        <v>22692942</v>
      </c>
    </row>
    <row r="101" spans="1:3" x14ac:dyDescent="0.3">
      <c r="A101" t="s">
        <v>41</v>
      </c>
      <c r="B101" t="s">
        <v>23</v>
      </c>
      <c r="C101" s="25">
        <v>1840900</v>
      </c>
    </row>
    <row r="102" spans="1:3" x14ac:dyDescent="0.3">
      <c r="A102" t="s">
        <v>46</v>
      </c>
      <c r="B102" t="s">
        <v>20</v>
      </c>
      <c r="C102" s="25">
        <v>5098400</v>
      </c>
    </row>
    <row r="103" spans="1:3" x14ac:dyDescent="0.3">
      <c r="A103" t="s">
        <v>49</v>
      </c>
      <c r="B103" t="s">
        <v>30</v>
      </c>
      <c r="C103" s="25">
        <v>3340900</v>
      </c>
    </row>
    <row r="104" spans="1:3" x14ac:dyDescent="0.3">
      <c r="A104" t="s">
        <v>46</v>
      </c>
      <c r="B104" t="s">
        <v>31</v>
      </c>
      <c r="C104" s="25">
        <v>20844500</v>
      </c>
    </row>
    <row r="105" spans="1:3" x14ac:dyDescent="0.3">
      <c r="A105" t="s">
        <v>47</v>
      </c>
      <c r="B105" t="s">
        <v>24</v>
      </c>
      <c r="C105" s="25">
        <v>14156760</v>
      </c>
    </row>
    <row r="106" spans="1:3" x14ac:dyDescent="0.3">
      <c r="A106" t="s">
        <v>53</v>
      </c>
      <c r="B106" t="s">
        <v>27</v>
      </c>
      <c r="C106" s="25">
        <v>29503511</v>
      </c>
    </row>
    <row r="107" spans="1:3" x14ac:dyDescent="0.3">
      <c r="A107" t="s">
        <v>50</v>
      </c>
      <c r="B107" t="s">
        <v>20</v>
      </c>
      <c r="C107" s="25">
        <v>4314100</v>
      </c>
    </row>
    <row r="108" spans="1:3" x14ac:dyDescent="0.3">
      <c r="A108" t="s">
        <v>50</v>
      </c>
      <c r="B108" t="s">
        <v>21</v>
      </c>
      <c r="C108" s="25">
        <v>22786010</v>
      </c>
    </row>
    <row r="109" spans="1:3" x14ac:dyDescent="0.3">
      <c r="A109" t="s">
        <v>50</v>
      </c>
      <c r="B109" t="s">
        <v>25</v>
      </c>
      <c r="C109" s="25">
        <v>19084288</v>
      </c>
    </row>
    <row r="110" spans="1:3" x14ac:dyDescent="0.3">
      <c r="A110" t="s">
        <v>46</v>
      </c>
      <c r="B110" t="s">
        <v>19</v>
      </c>
      <c r="C110" s="25">
        <v>4931400</v>
      </c>
    </row>
    <row r="111" spans="1:3" x14ac:dyDescent="0.3">
      <c r="A111" t="s">
        <v>43</v>
      </c>
      <c r="B111" t="s">
        <v>22</v>
      </c>
      <c r="C111" s="25">
        <v>2264495</v>
      </c>
    </row>
    <row r="112" spans="1:3" x14ac:dyDescent="0.3">
      <c r="A112" t="s">
        <v>43</v>
      </c>
      <c r="B112" t="s">
        <v>32</v>
      </c>
      <c r="C112" s="25">
        <v>1906250</v>
      </c>
    </row>
    <row r="113" spans="1:3" x14ac:dyDescent="0.3">
      <c r="A113" t="s">
        <v>51</v>
      </c>
      <c r="B113" t="s">
        <v>26</v>
      </c>
      <c r="C113" s="25">
        <v>10631000</v>
      </c>
    </row>
    <row r="114" spans="1:3" x14ac:dyDescent="0.3">
      <c r="A114" t="s">
        <v>49</v>
      </c>
      <c r="B114" t="s">
        <v>24</v>
      </c>
      <c r="C114" s="25">
        <v>5488120</v>
      </c>
    </row>
    <row r="115" spans="1:3" x14ac:dyDescent="0.3">
      <c r="A115" t="s">
        <v>52</v>
      </c>
      <c r="B115" t="s">
        <v>25</v>
      </c>
      <c r="C115" s="25">
        <v>13199355</v>
      </c>
    </row>
    <row r="116" spans="1:3" x14ac:dyDescent="0.3">
      <c r="A116" t="s">
        <v>49</v>
      </c>
      <c r="B116" t="s">
        <v>33</v>
      </c>
      <c r="C116" s="25">
        <v>176714.32</v>
      </c>
    </row>
    <row r="117" spans="1:3" x14ac:dyDescent="0.3">
      <c r="A117" t="s">
        <v>41</v>
      </c>
      <c r="B117" t="s">
        <v>25</v>
      </c>
      <c r="C117" s="25">
        <v>15333547</v>
      </c>
    </row>
    <row r="118" spans="1:3" x14ac:dyDescent="0.3">
      <c r="A118" t="s">
        <v>52</v>
      </c>
      <c r="B118" t="s">
        <v>20</v>
      </c>
      <c r="C118" s="25">
        <v>20968250</v>
      </c>
    </row>
    <row r="119" spans="1:3" x14ac:dyDescent="0.3">
      <c r="A119" t="s">
        <v>42</v>
      </c>
      <c r="B119" t="s">
        <v>21</v>
      </c>
      <c r="C119" s="25">
        <v>4173000</v>
      </c>
    </row>
    <row r="120" spans="1:3" x14ac:dyDescent="0.3">
      <c r="A120" t="s">
        <v>50</v>
      </c>
      <c r="B120" t="s">
        <v>29</v>
      </c>
      <c r="C120" s="25">
        <v>8314540</v>
      </c>
    </row>
    <row r="121" spans="1:3" x14ac:dyDescent="0.3">
      <c r="A121" t="s">
        <v>45</v>
      </c>
      <c r="B121" t="s">
        <v>20</v>
      </c>
      <c r="C121" s="25">
        <v>324750</v>
      </c>
    </row>
    <row r="122" spans="1:3" x14ac:dyDescent="0.3">
      <c r="A122" t="s">
        <v>44</v>
      </c>
      <c r="B122" t="s">
        <v>24</v>
      </c>
      <c r="C122" s="25">
        <v>27816550</v>
      </c>
    </row>
    <row r="123" spans="1:3" x14ac:dyDescent="0.3">
      <c r="A123" t="s">
        <v>51</v>
      </c>
      <c r="B123" t="s">
        <v>19</v>
      </c>
      <c r="C123" s="25">
        <v>1640500</v>
      </c>
    </row>
    <row r="124" spans="1:3" x14ac:dyDescent="0.3">
      <c r="A124" t="s">
        <v>45</v>
      </c>
      <c r="B124" t="s">
        <v>30</v>
      </c>
      <c r="C124" s="25">
        <v>12387020</v>
      </c>
    </row>
    <row r="125" spans="1:3" x14ac:dyDescent="0.3">
      <c r="A125" t="s">
        <v>53</v>
      </c>
      <c r="B125" t="s">
        <v>31</v>
      </c>
      <c r="C125" s="25">
        <v>28902200</v>
      </c>
    </row>
    <row r="126" spans="1:3" x14ac:dyDescent="0.3">
      <c r="A126" t="s">
        <v>41</v>
      </c>
      <c r="B126" t="s">
        <v>22</v>
      </c>
      <c r="C126" s="25">
        <v>3368950</v>
      </c>
    </row>
    <row r="127" spans="1:3" x14ac:dyDescent="0.3">
      <c r="A127" t="s">
        <v>48</v>
      </c>
      <c r="B127" t="s">
        <v>20</v>
      </c>
      <c r="C127" s="25">
        <v>98178048</v>
      </c>
    </row>
    <row r="128" spans="1:3" x14ac:dyDescent="0.3">
      <c r="A128" t="s">
        <v>43</v>
      </c>
      <c r="B128" t="s">
        <v>29</v>
      </c>
      <c r="C128" s="25">
        <v>7878025.3799999999</v>
      </c>
    </row>
    <row r="129" spans="1:3" x14ac:dyDescent="0.3">
      <c r="A129" t="s">
        <v>47</v>
      </c>
      <c r="B129" t="s">
        <v>28</v>
      </c>
      <c r="C129" s="25">
        <v>11900900</v>
      </c>
    </row>
    <row r="130" spans="1:3" x14ac:dyDescent="0.3">
      <c r="A130" t="s">
        <v>46</v>
      </c>
      <c r="B130" t="s">
        <v>28</v>
      </c>
      <c r="C130" s="25">
        <v>16549000</v>
      </c>
    </row>
    <row r="131" spans="1:3" x14ac:dyDescent="0.3">
      <c r="A131" t="s">
        <v>41</v>
      </c>
      <c r="B131" t="s">
        <v>19</v>
      </c>
      <c r="C131" s="25">
        <v>10212000</v>
      </c>
    </row>
    <row r="132" spans="1:3" x14ac:dyDescent="0.3">
      <c r="A132" t="s">
        <v>40</v>
      </c>
      <c r="B132" t="s">
        <v>29</v>
      </c>
      <c r="C132" s="25">
        <v>31911388.77</v>
      </c>
    </row>
    <row r="133" spans="1:3" x14ac:dyDescent="0.3">
      <c r="A133" t="s">
        <v>48</v>
      </c>
      <c r="B133" t="s">
        <v>29</v>
      </c>
      <c r="C133" s="25">
        <v>15789750.4</v>
      </c>
    </row>
    <row r="134" spans="1:3" x14ac:dyDescent="0.3">
      <c r="A134" t="s">
        <v>41</v>
      </c>
      <c r="B134" t="s">
        <v>31</v>
      </c>
      <c r="C134" s="25">
        <v>34976950</v>
      </c>
    </row>
    <row r="135" spans="1:3" x14ac:dyDescent="0.3">
      <c r="A135" t="s">
        <v>53</v>
      </c>
      <c r="B135" t="s">
        <v>29</v>
      </c>
      <c r="C135" s="25">
        <v>25497771.73</v>
      </c>
    </row>
    <row r="136" spans="1:3" x14ac:dyDescent="0.3">
      <c r="A136" t="s">
        <v>47</v>
      </c>
      <c r="B136" t="s">
        <v>30</v>
      </c>
      <c r="C136" s="25">
        <v>6644900</v>
      </c>
    </row>
    <row r="137" spans="1:3" x14ac:dyDescent="0.3">
      <c r="A137" t="s">
        <v>46</v>
      </c>
      <c r="B137" t="s">
        <v>33</v>
      </c>
      <c r="C137" s="25">
        <v>-826402.64</v>
      </c>
    </row>
    <row r="138" spans="1:3" x14ac:dyDescent="0.3">
      <c r="A138" t="s">
        <v>46</v>
      </c>
      <c r="B138" t="s">
        <v>26</v>
      </c>
      <c r="C138" s="25">
        <v>3219650</v>
      </c>
    </row>
    <row r="139" spans="1:3" x14ac:dyDescent="0.3">
      <c r="A139" t="s">
        <v>48</v>
      </c>
      <c r="B139" t="s">
        <v>28</v>
      </c>
      <c r="C139" s="25">
        <v>26697100</v>
      </c>
    </row>
    <row r="140" spans="1:3" x14ac:dyDescent="0.3">
      <c r="A140" t="s">
        <v>49</v>
      </c>
      <c r="B140" t="s">
        <v>29</v>
      </c>
      <c r="C140" s="25">
        <v>4596385.68</v>
      </c>
    </row>
    <row r="141" spans="1:3" x14ac:dyDescent="0.3">
      <c r="A141" t="s">
        <v>50</v>
      </c>
      <c r="B141" t="s">
        <v>22</v>
      </c>
      <c r="C141" s="25">
        <v>12304930</v>
      </c>
    </row>
    <row r="142" spans="1:3" x14ac:dyDescent="0.3">
      <c r="A142" t="s">
        <v>53</v>
      </c>
      <c r="B142" t="s">
        <v>23</v>
      </c>
      <c r="C142" s="25">
        <v>10165450</v>
      </c>
    </row>
    <row r="143" spans="1:3" x14ac:dyDescent="0.3">
      <c r="A143" t="s">
        <v>43</v>
      </c>
      <c r="B143" t="s">
        <v>30</v>
      </c>
      <c r="C143" s="25">
        <v>7551085</v>
      </c>
    </row>
    <row r="144" spans="1:3" x14ac:dyDescent="0.3">
      <c r="A144" t="s">
        <v>48</v>
      </c>
      <c r="B144" t="s">
        <v>33</v>
      </c>
      <c r="C144" s="25">
        <v>-623169.4</v>
      </c>
    </row>
    <row r="145" spans="1:3" x14ac:dyDescent="0.3">
      <c r="A145" t="s">
        <v>43</v>
      </c>
      <c r="B145" t="s">
        <v>34</v>
      </c>
      <c r="C145" s="25">
        <v>-4750</v>
      </c>
    </row>
    <row r="146" spans="1:3" x14ac:dyDescent="0.3">
      <c r="A146" t="s">
        <v>48</v>
      </c>
      <c r="B146" t="s">
        <v>24</v>
      </c>
      <c r="C146" s="25">
        <v>11672165</v>
      </c>
    </row>
    <row r="147" spans="1:3" x14ac:dyDescent="0.3">
      <c r="A147" t="s">
        <v>46</v>
      </c>
      <c r="B147" t="s">
        <v>30</v>
      </c>
      <c r="C147" s="25">
        <v>12919400</v>
      </c>
    </row>
    <row r="148" spans="1:3" x14ac:dyDescent="0.3">
      <c r="A148" t="s">
        <v>53</v>
      </c>
      <c r="B148" t="s">
        <v>19</v>
      </c>
      <c r="C148" s="25">
        <v>2840100</v>
      </c>
    </row>
    <row r="149" spans="1:3" x14ac:dyDescent="0.3">
      <c r="A149" t="s">
        <v>47</v>
      </c>
      <c r="B149" t="s">
        <v>20</v>
      </c>
      <c r="C149" s="25">
        <v>2507650</v>
      </c>
    </row>
    <row r="150" spans="1:3" x14ac:dyDescent="0.3">
      <c r="A150" t="s">
        <v>48</v>
      </c>
      <c r="B150" t="s">
        <v>30</v>
      </c>
      <c r="C150" s="25">
        <v>14079500</v>
      </c>
    </row>
    <row r="151" spans="1:3" x14ac:dyDescent="0.3">
      <c r="A151" t="s">
        <v>40</v>
      </c>
      <c r="B151" t="s">
        <v>28</v>
      </c>
      <c r="C151" s="25">
        <v>32528100</v>
      </c>
    </row>
    <row r="152" spans="1:3" x14ac:dyDescent="0.3">
      <c r="A152" t="s">
        <v>46</v>
      </c>
      <c r="B152" t="s">
        <v>23</v>
      </c>
      <c r="C152" s="25">
        <v>22156050</v>
      </c>
    </row>
    <row r="153" spans="1:3" x14ac:dyDescent="0.3">
      <c r="A153" t="s">
        <v>45</v>
      </c>
      <c r="B153" t="s">
        <v>33</v>
      </c>
      <c r="C153" s="25">
        <v>-704563.55</v>
      </c>
    </row>
    <row r="154" spans="1:3" x14ac:dyDescent="0.3">
      <c r="A154" t="s">
        <v>52</v>
      </c>
      <c r="B154" t="s">
        <v>23</v>
      </c>
      <c r="C154" s="25">
        <v>8530550</v>
      </c>
    </row>
    <row r="155" spans="1:3" x14ac:dyDescent="0.3">
      <c r="A155" t="s">
        <v>52</v>
      </c>
      <c r="B155" t="s">
        <v>29</v>
      </c>
      <c r="C155" s="25">
        <v>15661434.949999999</v>
      </c>
    </row>
    <row r="156" spans="1:3" x14ac:dyDescent="0.3">
      <c r="A156" t="s">
        <v>47</v>
      </c>
      <c r="B156" t="s">
        <v>33</v>
      </c>
      <c r="C156" s="25">
        <v>91866.240000000005</v>
      </c>
    </row>
    <row r="157" spans="1:3" x14ac:dyDescent="0.3">
      <c r="A157" t="s">
        <v>46</v>
      </c>
      <c r="B157" t="s">
        <v>25</v>
      </c>
      <c r="C157" s="25">
        <v>12080016</v>
      </c>
    </row>
    <row r="158" spans="1:3" x14ac:dyDescent="0.3">
      <c r="A158" t="s">
        <v>47</v>
      </c>
      <c r="B158" t="s">
        <v>21</v>
      </c>
      <c r="C158" s="25">
        <v>12190340</v>
      </c>
    </row>
    <row r="159" spans="1:3" x14ac:dyDescent="0.3">
      <c r="A159" t="s">
        <v>48</v>
      </c>
      <c r="B159" t="s">
        <v>19</v>
      </c>
      <c r="C159" s="25">
        <v>7534800</v>
      </c>
    </row>
    <row r="160" spans="1:3" x14ac:dyDescent="0.3">
      <c r="A160" t="s">
        <v>43</v>
      </c>
      <c r="B160" t="s">
        <v>21</v>
      </c>
      <c r="C160" s="25">
        <v>58207177.5</v>
      </c>
    </row>
    <row r="161" spans="1:3" x14ac:dyDescent="0.3">
      <c r="A161" t="s">
        <v>40</v>
      </c>
      <c r="B161" t="s">
        <v>21</v>
      </c>
      <c r="C161" s="25">
        <v>8895500</v>
      </c>
    </row>
    <row r="162" spans="1:3" x14ac:dyDescent="0.3">
      <c r="A162" t="s">
        <v>42</v>
      </c>
      <c r="B162" t="s">
        <v>31</v>
      </c>
      <c r="C162" s="25">
        <v>5308700</v>
      </c>
    </row>
    <row r="163" spans="1:3" x14ac:dyDescent="0.3">
      <c r="A163" t="s">
        <v>47</v>
      </c>
      <c r="B163" t="s">
        <v>32</v>
      </c>
      <c r="C163" s="25">
        <v>1365100</v>
      </c>
    </row>
    <row r="164" spans="1:3" x14ac:dyDescent="0.3">
      <c r="A164" t="s">
        <v>50</v>
      </c>
      <c r="B164" t="s">
        <v>30</v>
      </c>
      <c r="C164" s="25">
        <v>11232900</v>
      </c>
    </row>
    <row r="165" spans="1:3" x14ac:dyDescent="0.3">
      <c r="A165" t="s">
        <v>47</v>
      </c>
      <c r="B165" t="s">
        <v>29</v>
      </c>
      <c r="C165" s="25">
        <v>5466273.7599999998</v>
      </c>
    </row>
    <row r="166" spans="1:3" x14ac:dyDescent="0.3">
      <c r="A166" t="s">
        <v>44</v>
      </c>
      <c r="B166" t="s">
        <v>20</v>
      </c>
      <c r="C166" s="25">
        <v>13802650</v>
      </c>
    </row>
    <row r="167" spans="1:3" x14ac:dyDescent="0.3">
      <c r="A167" t="s">
        <v>44</v>
      </c>
      <c r="B167" t="s">
        <v>25</v>
      </c>
      <c r="C167" s="25">
        <v>64052418.5</v>
      </c>
    </row>
    <row r="168" spans="1:3" x14ac:dyDescent="0.3">
      <c r="A168" t="s">
        <v>47</v>
      </c>
      <c r="B168" t="s">
        <v>19</v>
      </c>
      <c r="C168" s="25">
        <v>813000</v>
      </c>
    </row>
    <row r="169" spans="1:3" x14ac:dyDescent="0.3">
      <c r="A169" t="s">
        <v>51</v>
      </c>
      <c r="B169" t="s">
        <v>31</v>
      </c>
      <c r="C169" s="25">
        <v>3392500</v>
      </c>
    </row>
    <row r="170" spans="1:3" x14ac:dyDescent="0.3">
      <c r="A170" t="s">
        <v>46</v>
      </c>
      <c r="B170" t="s">
        <v>32</v>
      </c>
      <c r="C170" s="25">
        <v>1928600</v>
      </c>
    </row>
    <row r="171" spans="1:3" x14ac:dyDescent="0.3">
      <c r="A171" t="s">
        <v>52</v>
      </c>
      <c r="B171" t="s">
        <v>33</v>
      </c>
      <c r="C171" s="25">
        <v>2003084.05</v>
      </c>
    </row>
    <row r="172" spans="1:3" x14ac:dyDescent="0.3">
      <c r="A172" t="s">
        <v>51</v>
      </c>
      <c r="B172" t="s">
        <v>21</v>
      </c>
      <c r="C172" s="25">
        <v>5234790</v>
      </c>
    </row>
    <row r="173" spans="1:3" x14ac:dyDescent="0.3">
      <c r="A173" t="s">
        <v>52</v>
      </c>
      <c r="B173" t="s">
        <v>21</v>
      </c>
      <c r="C173" s="25">
        <v>15696290</v>
      </c>
    </row>
    <row r="174" spans="1:3" x14ac:dyDescent="0.3">
      <c r="A174" t="s">
        <v>42</v>
      </c>
      <c r="B174" t="s">
        <v>26</v>
      </c>
      <c r="C174" s="25">
        <v>839220</v>
      </c>
    </row>
    <row r="175" spans="1:3" x14ac:dyDescent="0.3">
      <c r="A175" t="s">
        <v>49</v>
      </c>
      <c r="B175" t="s">
        <v>19</v>
      </c>
      <c r="C175" s="25">
        <v>6600000</v>
      </c>
    </row>
    <row r="176" spans="1:3" x14ac:dyDescent="0.3">
      <c r="A176" t="s">
        <v>46</v>
      </c>
      <c r="B176" t="s">
        <v>21</v>
      </c>
      <c r="C176" s="25">
        <v>2983900</v>
      </c>
    </row>
    <row r="177" spans="1:3" x14ac:dyDescent="0.3">
      <c r="A177" t="s">
        <v>44</v>
      </c>
      <c r="B177" t="s">
        <v>31</v>
      </c>
      <c r="C177" s="25">
        <v>34289000</v>
      </c>
    </row>
    <row r="178" spans="1:3" x14ac:dyDescent="0.3">
      <c r="A178" t="s">
        <v>45</v>
      </c>
      <c r="B178" t="s">
        <v>27</v>
      </c>
      <c r="C178" s="25">
        <v>4254950</v>
      </c>
    </row>
    <row r="179" spans="1:3" x14ac:dyDescent="0.3">
      <c r="A179" t="s">
        <v>45</v>
      </c>
      <c r="B179" t="s">
        <v>28</v>
      </c>
      <c r="C179" s="25">
        <v>17260100</v>
      </c>
    </row>
    <row r="180" spans="1:3" x14ac:dyDescent="0.3">
      <c r="A180" t="s">
        <v>48</v>
      </c>
      <c r="B180" t="s">
        <v>32</v>
      </c>
      <c r="C180" s="25">
        <v>2835700</v>
      </c>
    </row>
    <row r="181" spans="1:3" x14ac:dyDescent="0.3">
      <c r="A181" t="s">
        <v>50</v>
      </c>
      <c r="B181" t="s">
        <v>28</v>
      </c>
      <c r="C181" s="25">
        <v>7617500</v>
      </c>
    </row>
    <row r="182" spans="1:3" x14ac:dyDescent="0.3">
      <c r="A182" t="s">
        <v>40</v>
      </c>
      <c r="B182" t="s">
        <v>20</v>
      </c>
      <c r="C182" s="25">
        <v>9599100</v>
      </c>
    </row>
    <row r="183" spans="1:3" x14ac:dyDescent="0.3">
      <c r="A183" t="s">
        <v>45</v>
      </c>
      <c r="B183" t="s">
        <v>29</v>
      </c>
      <c r="C183" s="25">
        <v>16847024.550000001</v>
      </c>
    </row>
    <row r="184" spans="1:3" x14ac:dyDescent="0.3">
      <c r="A184" t="s">
        <v>50</v>
      </c>
      <c r="B184" t="s">
        <v>31</v>
      </c>
      <c r="C184" s="25">
        <v>19216400</v>
      </c>
    </row>
    <row r="185" spans="1:3" x14ac:dyDescent="0.3">
      <c r="A185" t="s">
        <v>42</v>
      </c>
      <c r="B185" t="s">
        <v>23</v>
      </c>
      <c r="C185" s="25">
        <v>1123310</v>
      </c>
    </row>
    <row r="186" spans="1:3" x14ac:dyDescent="0.3">
      <c r="A186" t="s">
        <v>51</v>
      </c>
      <c r="B186" t="s">
        <v>23</v>
      </c>
      <c r="C186" s="25">
        <v>15023250</v>
      </c>
    </row>
    <row r="187" spans="1:3" x14ac:dyDescent="0.3">
      <c r="A187" t="s">
        <v>52</v>
      </c>
      <c r="B187" t="s">
        <v>28</v>
      </c>
      <c r="C187" s="25">
        <v>66020500</v>
      </c>
    </row>
    <row r="188" spans="1:3" x14ac:dyDescent="0.3">
      <c r="A188" t="s">
        <v>53</v>
      </c>
      <c r="B188" t="s">
        <v>26</v>
      </c>
      <c r="C188" s="25">
        <v>12692355</v>
      </c>
    </row>
    <row r="189" spans="1:3" x14ac:dyDescent="0.3">
      <c r="A189" t="s">
        <v>52</v>
      </c>
      <c r="B189" t="s">
        <v>31</v>
      </c>
      <c r="C189" s="25">
        <v>30163500</v>
      </c>
    </row>
    <row r="190" spans="1:3" x14ac:dyDescent="0.3">
      <c r="A190" t="s">
        <v>44</v>
      </c>
      <c r="B190" t="s">
        <v>19</v>
      </c>
      <c r="C190" s="25">
        <v>7677100</v>
      </c>
    </row>
    <row r="191" spans="1:3" x14ac:dyDescent="0.3">
      <c r="A191" t="s">
        <v>52</v>
      </c>
      <c r="B191" t="s">
        <v>22</v>
      </c>
      <c r="C191" s="25">
        <v>9278825</v>
      </c>
    </row>
    <row r="192" spans="1:3" x14ac:dyDescent="0.3">
      <c r="A192" t="s">
        <v>51</v>
      </c>
      <c r="B192" t="s">
        <v>27</v>
      </c>
      <c r="C192" s="25">
        <v>8259896</v>
      </c>
    </row>
    <row r="193" spans="1:3" x14ac:dyDescent="0.3">
      <c r="A193" t="s">
        <v>43</v>
      </c>
      <c r="B193" t="s">
        <v>33</v>
      </c>
      <c r="C193" s="25">
        <v>-422514.88</v>
      </c>
    </row>
    <row r="194" spans="1:3" x14ac:dyDescent="0.3">
      <c r="A194" t="s">
        <v>45</v>
      </c>
      <c r="B194" t="s">
        <v>32</v>
      </c>
      <c r="C194" s="25">
        <v>968900</v>
      </c>
    </row>
    <row r="195" spans="1:3" x14ac:dyDescent="0.3">
      <c r="A195" t="s">
        <v>51</v>
      </c>
      <c r="B195" t="s">
        <v>24</v>
      </c>
      <c r="C195" s="25">
        <v>17392120</v>
      </c>
    </row>
    <row r="196" spans="1:3" x14ac:dyDescent="0.3">
      <c r="A196" t="s">
        <v>49</v>
      </c>
      <c r="B196" t="s">
        <v>20</v>
      </c>
      <c r="C196" s="25">
        <v>16688800</v>
      </c>
    </row>
    <row r="197" spans="1:3" x14ac:dyDescent="0.3">
      <c r="A197" t="s">
        <v>47</v>
      </c>
      <c r="B197" t="s">
        <v>31</v>
      </c>
      <c r="C197" s="25">
        <v>9946700</v>
      </c>
    </row>
    <row r="198" spans="1:3" x14ac:dyDescent="0.3">
      <c r="A198" t="s">
        <v>52</v>
      </c>
      <c r="B198" t="s">
        <v>30</v>
      </c>
      <c r="C198" s="25">
        <v>13285240</v>
      </c>
    </row>
    <row r="199" spans="1:3" x14ac:dyDescent="0.3">
      <c r="A199" t="s">
        <v>45</v>
      </c>
      <c r="B199" t="s">
        <v>21</v>
      </c>
      <c r="C199" s="25">
        <v>4847340</v>
      </c>
    </row>
    <row r="200" spans="1:3" x14ac:dyDescent="0.3">
      <c r="A200" t="s">
        <v>53</v>
      </c>
      <c r="B200" t="s">
        <v>21</v>
      </c>
      <c r="C200" s="25">
        <v>13512340</v>
      </c>
    </row>
    <row r="201" spans="1:3" x14ac:dyDescent="0.3">
      <c r="A201" t="s">
        <v>47</v>
      </c>
      <c r="B201" t="s">
        <v>26</v>
      </c>
      <c r="C201" s="25">
        <v>9886205</v>
      </c>
    </row>
    <row r="202" spans="1:3" x14ac:dyDescent="0.3">
      <c r="A202" t="s">
        <v>40</v>
      </c>
      <c r="B202" t="s">
        <v>24</v>
      </c>
      <c r="C202" s="25">
        <v>11142224</v>
      </c>
    </row>
    <row r="203" spans="1:3" x14ac:dyDescent="0.3">
      <c r="A203" t="s">
        <v>48</v>
      </c>
      <c r="B203" t="s">
        <v>23</v>
      </c>
      <c r="C203" s="25">
        <v>16823640</v>
      </c>
    </row>
    <row r="204" spans="1:3" x14ac:dyDescent="0.3">
      <c r="A204" t="s">
        <v>43</v>
      </c>
      <c r="B204" t="s">
        <v>27</v>
      </c>
      <c r="C204" s="25">
        <v>7071340</v>
      </c>
    </row>
    <row r="205" spans="1:3" x14ac:dyDescent="0.3">
      <c r="A205" t="s">
        <v>41</v>
      </c>
      <c r="B205" t="s">
        <v>24</v>
      </c>
      <c r="C205" s="25">
        <v>13309120</v>
      </c>
    </row>
    <row r="206" spans="1:3" x14ac:dyDescent="0.3">
      <c r="A206" t="s">
        <v>51</v>
      </c>
      <c r="B206" t="s">
        <v>29</v>
      </c>
      <c r="C206" s="25">
        <v>5332161</v>
      </c>
    </row>
    <row r="207" spans="1:3" x14ac:dyDescent="0.3">
      <c r="A207" t="s">
        <v>52</v>
      </c>
      <c r="B207" t="s">
        <v>32</v>
      </c>
      <c r="C207" s="25">
        <v>2212700</v>
      </c>
    </row>
    <row r="208" spans="1:3" x14ac:dyDescent="0.3">
      <c r="A208" t="s">
        <v>43</v>
      </c>
      <c r="B208" t="s">
        <v>28</v>
      </c>
      <c r="C208" s="25">
        <v>46263100</v>
      </c>
    </row>
    <row r="209" spans="1:3" x14ac:dyDescent="0.3">
      <c r="A209" t="s">
        <v>53</v>
      </c>
      <c r="B209" t="s">
        <v>25</v>
      </c>
      <c r="C209" s="25">
        <v>58799308</v>
      </c>
    </row>
    <row r="210" spans="1:3" x14ac:dyDescent="0.3">
      <c r="A210" t="s">
        <v>42</v>
      </c>
      <c r="B210" t="s">
        <v>27</v>
      </c>
      <c r="C210" s="25">
        <v>12759025</v>
      </c>
    </row>
    <row r="211" spans="1:3" x14ac:dyDescent="0.3">
      <c r="A211" t="s">
        <v>46</v>
      </c>
      <c r="B211" t="s">
        <v>24</v>
      </c>
      <c r="C211" s="25">
        <v>10073735</v>
      </c>
    </row>
    <row r="212" spans="1:3" x14ac:dyDescent="0.3">
      <c r="A212" t="s">
        <v>49</v>
      </c>
      <c r="B212" t="s">
        <v>27</v>
      </c>
      <c r="C212" s="25">
        <v>1598735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34D83-6D35-4613-B0AB-5962EF94F0A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7F0B6C-AB72-456C-91DA-3661BAFE0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 Compare</vt:lpstr>
      <vt:lpstr>Sheet2</vt:lpstr>
      <vt:lpstr>Sheet1</vt:lpstr>
      <vt:lpstr>Sheet4</vt:lpstr>
      <vt:lpstr>to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PRO1</dc:creator>
  <cp:lastModifiedBy>POR1 SD</cp:lastModifiedBy>
  <dcterms:created xsi:type="dcterms:W3CDTF">2026-04-18T10:28:52Z</dcterms:created>
  <dcterms:modified xsi:type="dcterms:W3CDTF">2026-05-11T05:25:52Z</dcterms:modified>
</cp:coreProperties>
</file>